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e91feee757c424b" /></Relationships>
</file>

<file path=xl/workbook.xml><?xml version="1.0" encoding="utf-8"?>
<x:workbook xmlns:x="http://schemas.openxmlformats.org/spreadsheetml/2006/main">
  <x:sheets>
    <x:sheet xmlns:r="http://schemas.openxmlformats.org/officeDocument/2006/relationships" name="Dashboard" sheetId="1" r:id="Rd681aa6edd94452e"/>
    <x:sheet xmlns:r="http://schemas.openxmlformats.org/officeDocument/2006/relationships" name="Recruitment" sheetId="2" r:id="R8a59dc7b6ac24ef8"/>
    <x:sheet xmlns:r="http://schemas.openxmlformats.org/officeDocument/2006/relationships" name="Interviews" sheetId="3" r:id="R7f2ae303862346a6"/>
    <x:sheet xmlns:r="http://schemas.openxmlformats.org/officeDocument/2006/relationships" name="Job Scores" sheetId="4" r:id="R7a892e345efe4980"/>
    <x:sheet xmlns:r="http://schemas.openxmlformats.org/officeDocument/2006/relationships" name="Hypotheses" sheetId="5" r:id="Rdf36fb7ce0d34028"/>
    <x:sheet xmlns:r="http://schemas.openxmlformats.org/officeDocument/2006/relationships" name="Feature Map" sheetId="6" r:id="Rcd51f44df7f44ba5"/>
    <x:sheet xmlns:r="http://schemas.openxmlformats.org/officeDocument/2006/relationships" name="Safety Requirements" sheetId="7" r:id="R3a714977a11d4d79"/>
    <x:sheet xmlns:r="http://schemas.openxmlformats.org/officeDocument/2006/relationships" name="Scoring" sheetId="8" r:id="R4bad0466b88e49de"/>
    <x:sheet xmlns:r="http://schemas.openxmlformats.org/officeDocument/2006/relationships" name="Decision" sheetId="9" r:id="R7a38d937d7dc473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yyyy-mm-dd"/>
    <x:numFmt numFmtId="202" formatCode="0.00"/>
  </x:numFmts>
  <x:fonts count="5">
    <x:font>
      <x:sz val="11"/>
      <x:name val="Carlito"/>
    </x:font>
    <x:font>
      <x:b/>
      <x:sz val="18"/>
      <x:color rgb="FFFFFFFF"/>
      <x:name val="Carlito"/>
    </x:font>
    <x:font>
      <x:i/>
      <x:sz val="10"/>
      <x:color rgb="FF111827"/>
      <x:name val="Carlito"/>
    </x:font>
    <x:font>
      <x:b/>
      <x:sz val="11"/>
      <x:color rgb="FFFFFFFF"/>
      <x:name val="Carlito"/>
    </x:font>
    <x:font>
      <x:sz val="11"/>
      <x:color rgb="FF111827"/>
      <x:name val="Carlito"/>
    </x:font>
  </x:fonts>
  <x:fills count="6">
    <x:fill>
      <x:patternFill patternType="none"/>
    </x:fill>
    <x:fill>
      <x:patternFill patternType="gray125"/>
    </x:fill>
    <x:fill>
      <x:patternFill patternType="solid">
        <x:fgColor rgb="FF16324F"/>
      </x:patternFill>
    </x:fill>
    <x:fill>
      <x:patternFill patternType="solid">
        <x:fgColor rgb="FFEAF2FF"/>
      </x:patternFill>
    </x:fill>
    <x:fill>
      <x:patternFill patternType="solid">
        <x:fgColor rgb="FF0F766E"/>
      </x:patternFill>
    </x:fill>
    <x:fill>
      <x:patternFill patternType="solid">
        <x:fgColor rgb="FFFEF3C7"/>
      </x:patternFill>
    </x:fill>
  </x:fills>
  <x:borders count="1">
    <x:border/>
  </x:borders>
  <x:cellStyleXfs count="1">
    <x:xf numFmtId="0" fontId="0" fillId="0" borderId="0"/>
  </x:cellStyleXfs>
  <x:cellXfs count="3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200" fontId="0" fillId="0" borderId="0" xfId="0" applyNumberFormat="1" applyFont="1" applyFill="1" applyBorder="1"/>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0" xfId="0" applyNumberFormat="1" applyFont="1" applyFill="1" applyBorder="1"/>
    <x:xf numFmtId="201" fontId="0" fillId="0" borderId="0" xfId="0" applyNumberFormat="1" applyFont="1" applyFill="1" applyBorder="1" applyAlignment="1">
      <x:alignment wrapText="1"/>
    </x:xf>
    <x:xf numFmtId="202" fontId="0" fillId="0" borderId="0" xfId="0" applyNumberFormat="1" applyFont="1" applyFill="1" applyBorder="1"/>
    <x:xf numFmtId="202"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0" fillId="3" borderId="0" xfId="0" applyNumberFormat="1" applyFont="1" applyFill="1" applyBorder="1" applyAlignment="1">
      <x:alignment wrapText="1"/>
    </x:xf>
    <x:xf numFmtId="0" fontId="0" fillId="3" borderId="0" xfId="0" applyNumberFormat="1" applyFont="1" applyFill="1" applyBorder="1" applyAlignment="1">
      <x:alignment vertical="top" wrapText="1"/>
    </x:xf>
    <x:xf numFmtId="0" fontId="3" fillId="4"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40">
    <x:dxf>
      <x:font>
        <x:b/>
        <x:color rgb="FF166534"/>
      </x:font>
      <x:fill>
        <x:patternFill patternType="solid">
          <x:bgColor rgb="FFDCFCE7"/>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f75367baf994a5c" /><Relationship Type="http://schemas.openxmlformats.org/officeDocument/2006/relationships/theme" Target="/xl/theme/theme1.xml" Id="Recf2411363de49e5" /><Relationship Type="http://schemas.openxmlformats.org/officeDocument/2006/relationships/sharedStrings" Target="/xl/sharedStrings.xml" Id="R19aebc4f69604bd0" /><Relationship Type="http://schemas.openxmlformats.org/officeDocument/2006/relationships/worksheet" Target="/xl/worksheets/sheet1.xml" Id="Rd681aa6edd94452e" /><Relationship Type="http://schemas.openxmlformats.org/officeDocument/2006/relationships/worksheet" Target="/xl/worksheets/sheet2.xml" Id="R8a59dc7b6ac24ef8" /><Relationship Type="http://schemas.openxmlformats.org/officeDocument/2006/relationships/worksheet" Target="/xl/worksheets/sheet3.xml" Id="R7f2ae303862346a6" /><Relationship Type="http://schemas.openxmlformats.org/officeDocument/2006/relationships/worksheet" Target="/xl/worksheets/sheet4.xml" Id="R7a892e345efe4980" /><Relationship Type="http://schemas.openxmlformats.org/officeDocument/2006/relationships/worksheet" Target="/xl/worksheets/sheet5.xml" Id="Rdf36fb7ce0d34028" /><Relationship Type="http://schemas.openxmlformats.org/officeDocument/2006/relationships/worksheet" Target="/xl/worksheets/sheet6.xml" Id="Rcd51f44df7f44ba5" /><Relationship Type="http://schemas.openxmlformats.org/officeDocument/2006/relationships/worksheet" Target="/xl/worksheets/sheet7.xml" Id="R3a714977a11d4d79" /><Relationship Type="http://schemas.openxmlformats.org/officeDocument/2006/relationships/worksheet" Target="/xl/worksheets/sheet8.xml" Id="R4bad0466b88e49de" /><Relationship Type="http://schemas.openxmlformats.org/officeDocument/2006/relationships/worksheet" Target="/xl/worksheets/sheet9.xml" Id="R7a38d937d7dc473b" /></Relationships>
</file>

<file path=xl/tables/table1.xml><?xml version="1.0" encoding="utf-8"?>
<x:table xmlns:x="http://schemas.openxmlformats.org/spreadsheetml/2006/main" id="9" name="ResearchDashboardTable" displayName="ResearchDashboardTable" ref="A4:B13" headerRowCount="1" totalsRowCount="0" totalsRowShown="0">
  <x:autoFilter ref="A4:B13"/>
  <x:tableColumns count="2">
    <x:tableColumn id="1" name="metric"/>
    <x:tableColumn id="2" name="value"/>
  </x:tableColumns>
  <x:tableStyleInfo name="TableStyleMedium2" showFirstColumn="0" showLastColumn="0" showRowStripes="1" showColumnStripes="0"/>
</x:table>
</file>

<file path=xl/tables/table2.xml><?xml version="1.0" encoding="utf-8"?>
<x:table xmlns:x="http://schemas.openxmlformats.org/spreadsheetml/2006/main" id="2" name="RecruitmentTable" displayName="RecruitmentTable" ref="A4:M19" headerRowCount="1" totalsRowCount="0" totalsRowShown="0">
  <x:autoFilter ref="A4:M19"/>
  <x:tableColumns count="13">
    <x:tableColumn id="1" name="participant_id"/>
    <x:tableColumn id="2" name="candidate_status"/>
    <x:tableColumn id="3" name="teacher_type"/>
    <x:tableColumn id="4" name="recurring_lessons_per_week"/>
    <x:tableColumn id="5" name="telegram_daily"/>
    <x:tableColumn id="6" name="eligible"/>
    <x:tableColumn id="7" name="interview_date"/>
    <x:tableColumn id="8" name="interview_status"/>
    <x:tableColumn id="9" name="artifact_willingness"/>
    <x:tableColumn id="10" name="pilot_status"/>
    <x:tableColumn id="11" name="consent_to_recontact"/>
    <x:tableColumn id="12" name="source_channel"/>
    <x:tableColumn id="13" name="deidentified_notes"/>
  </x:tableColumns>
  <x:tableStyleInfo name="TableStyleMedium2" showFirstColumn="0" showLastColumn="0" showRowStripes="1" showColumnStripes="0"/>
</x:table>
</file>

<file path=xl/tables/table3.xml><?xml version="1.0" encoding="utf-8"?>
<x:table xmlns:x="http://schemas.openxmlformats.org/spreadsheetml/2006/main" id="3" name="InterviewEvidenceTable" displayName="InterviewEvidenceTable" ref="A4:W24" headerRowCount="1" totalsRowCount="0" totalsRowShown="0">
  <x:autoFilter ref="A4:W24"/>
  <x:tableColumns count="23">
    <x:tableColumn id="1" name="interview_id"/>
    <x:tableColumn id="2" name="status"/>
    <x:tableColumn id="3" name="participant_id"/>
    <x:tableColumn id="4" name="eligible"/>
    <x:tableColumn id="5" name="interview_date"/>
    <x:tableColumn id="6" name="last_real_task"/>
    <x:tableColumn id="7" name="artifact_ids"/>
    <x:tableColumn id="8" name="artifact_count"/>
    <x:tableColumn id="9" name="minutes_spent"/>
    <x:tableColumn id="10" name="problem_code"/>
    <x:tableColumn id="11" name="pain_observed"/>
    <x:tableColumn id="12" name="current_workaround"/>
    <x:tableColumn id="13" name="consequence"/>
    <x:tableColumn id="14" name="desired_outcome"/>
    <x:tableColumn id="15" name="proof_of_success"/>
    <x:tableColumn id="16" name="trust_concern"/>
    <x:tableColumn id="17" name="frequency_1_5"/>
    <x:tableColumn id="18" name="time_loss_1_5"/>
    <x:tableColumn id="19" name="consequence_1_5"/>
    <x:tableColumn id="20" name="upload_willingness_1_5"/>
    <x:tableColumn id="21" name="pay_willingness_1_5"/>
    <x:tableColumn id="22" name="pilot_interest"/>
    <x:tableColumn id="23" name="deidentified_notes"/>
  </x:tableColumns>
  <x:tableStyleInfo name="TableStyleMedium2" showFirstColumn="0" showLastColumn="0" showRowStripes="1" showColumnStripes="0"/>
</x:table>
</file>

<file path=xl/tables/table4.xml><?xml version="1.0" encoding="utf-8"?>
<x:table xmlns:x="http://schemas.openxmlformats.org/spreadsheetml/2006/main" id="7" name="JobScoreTable" displayName="JobScoreTable" ref="A4:K20" headerRowCount="1" totalsRowCount="0" totalsRowShown="0">
  <x:autoFilter ref="A4:K20"/>
  <x:tableColumns count="11">
    <x:tableColumn id="1" name="problem_code"/>
    <x:tableColumn id="2" name="interview_count"/>
    <x:tableColumn id="3" name="frequency"/>
    <x:tableColumn id="4" name="time_loss"/>
    <x:tableColumn id="5" name="consequence"/>
    <x:tableColumn id="6" name="upload_willingness"/>
    <x:tableColumn id="7" name="pay_willingness"/>
    <x:tableColumn id="8" name="weighted_score"/>
    <x:tableColumn id="9" name="rank"/>
    <x:tableColumn id="10" name="evidence_status"/>
    <x:tableColumn id="11" name="notes"/>
  </x:tableColumns>
  <x:tableStyleInfo name="TableStyleMedium2" showFirstColumn="0" showLastColumn="0" showRowStripes="1" showColumnStripes="0"/>
</x:table>
</file>

<file path=xl/tables/table5.xml><?xml version="1.0" encoding="utf-8"?>
<x:table xmlns:x="http://schemas.openxmlformats.org/spreadsheetml/2006/main" id="4" name="HypothesisTable" displayName="HypothesisTable" ref="A4:H20" headerRowCount="1" totalsRowCount="0" totalsRowShown="0">
  <x:autoFilter ref="A4:H20"/>
  <x:tableColumns count="8">
    <x:tableColumn id="1" name="job_code"/>
    <x:tableColumn id="2" name="job_hypothesis"/>
    <x:tableColumn id="3" name="trigger_hypothesis"/>
    <x:tableColumn id="4" name="workaround_hypothesis"/>
    <x:tableColumn id="5" name="pain_hypothesis"/>
    <x:tableColumn id="6" name="desired_outcome_hypothesis"/>
    <x:tableColumn id="7" name="evidence_status"/>
    <x:tableColumn id="8" name="notes"/>
  </x:tableColumns>
  <x:tableStyleInfo name="TableStyleMedium2" showFirstColumn="0" showLastColumn="0" showRowStripes="1" showColumnStripes="0"/>
</x:table>
</file>

<file path=xl/tables/table6.xml><?xml version="1.0" encoding="utf-8"?>
<x:table xmlns:x="http://schemas.openxmlformats.org/spreadsheetml/2006/main" id="6" name="FeatureEvidenceMapTable" displayName="FeatureEvidenceMapTable" ref="A4:I94" headerRowCount="1" totalsRowCount="0" totalsRowShown="0">
  <x:autoFilter ref="A4:I94"/>
  <x:tableColumns count="9">
    <x:tableColumn id="1" name="feature_id"/>
    <x:tableColumn id="2" name="day"/>
    <x:tableColumn id="3" name="planned_feature"/>
    <x:tableColumn id="4" name="mapping_type"/>
    <x:tableColumn id="5" name="mapping_id"/>
    <x:tableColumn id="6" name="evidence_ids"/>
    <x:tableColumn id="7" name="problem_code"/>
    <x:tableColumn id="8" name="gate_status"/>
    <x:tableColumn id="9" name="decision_notes"/>
  </x:tableColumns>
  <x:tableStyleInfo name="TableStyleMedium2" showFirstColumn="0" showLastColumn="0" showRowStripes="1" showColumnStripes="0"/>
</x:table>
</file>

<file path=xl/tables/table7.xml><?xml version="1.0" encoding="utf-8"?>
<x:table xmlns:x="http://schemas.openxmlformats.org/spreadsheetml/2006/main" id="5" name="SafetyRequirementTable" displayName="SafetyRequirementTable" ref="A4:E10" headerRowCount="1" totalsRowCount="0" totalsRowShown="0">
  <x:autoFilter ref="A4:E10"/>
  <x:tableColumns count="5">
    <x:tableColumn id="1" name="requirement_id"/>
    <x:tableColumn id="2" name="requirement"/>
    <x:tableColumn id="3" name="risk_if_omitted"/>
    <x:tableColumn id="4" name="acceptance_basis"/>
    <x:tableColumn id="5" name="status"/>
  </x:tableColumns>
  <x:tableStyleInfo name="TableStyleMedium2" showFirstColumn="0" showLastColumn="0" showRowStripes="1" showColumnStripes="0"/>
</x:table>
</file>

<file path=xl/tables/table8.xml><?xml version="1.0" encoding="utf-8"?>
<x:table xmlns:x="http://schemas.openxmlformats.org/spreadsheetml/2006/main" id="1" name="ScoringAssumptionsTable" displayName="ScoringAssumptionsTable" ref="A4:D14" headerRowCount="1" totalsRowCount="0" totalsRowShown="0">
  <x:autoFilter ref="A4:D14"/>
  <x:tableColumns count="4">
    <x:tableColumn id="1" name="assumption"/>
    <x:tableColumn id="2" name="value"/>
    <x:tableColumn id="3" name="unit"/>
    <x:tableColumn id="4" name="reason"/>
  </x:tableColumns>
  <x:tableStyleInfo name="TableStyleMedium2" showFirstColumn="0" showLastColumn="0" showRowStripes="1" showColumnStripes="0"/>
</x:table>
</file>

<file path=xl/tables/table9.xml><?xml version="1.0" encoding="utf-8"?>
<x:table xmlns:x="http://schemas.openxmlformats.org/spreadsheetml/2006/main" id="8" name="DecisionRecordTable" displayName="DecisionRecordTable" ref="A4:B16" headerRowCount="1" totalsRowCount="0" totalsRowShown="0">
  <x:autoFilter ref="A4:B16"/>
  <x:tableColumns count="2">
    <x:tableColumn id="1" name="field"/>
    <x:tableColumn id="2" name="valu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afc2df51c814d22" /></Relationships>
</file>

<file path=xl/worksheets/_rels/sheet2.xml.rels>&#65279;<?xml version="1.0" encoding="utf-8"?><Relationships xmlns="http://schemas.openxmlformats.org/package/2006/relationships"><Relationship Type="http://schemas.openxmlformats.org/officeDocument/2006/relationships/table" Target="/xl/tables/table2.xml" Id="Rc4e4b5fcc3da402e" /></Relationships>
</file>

<file path=xl/worksheets/_rels/sheet3.xml.rels>&#65279;<?xml version="1.0" encoding="utf-8"?><Relationships xmlns="http://schemas.openxmlformats.org/package/2006/relationships"><Relationship Type="http://schemas.openxmlformats.org/officeDocument/2006/relationships/table" Target="/xl/tables/table3.xml" Id="Ra294a32490794aee" /></Relationships>
</file>

<file path=xl/worksheets/_rels/sheet4.xml.rels>&#65279;<?xml version="1.0" encoding="utf-8"?><Relationships xmlns="http://schemas.openxmlformats.org/package/2006/relationships"><Relationship Type="http://schemas.openxmlformats.org/officeDocument/2006/relationships/table" Target="/xl/tables/table4.xml" Id="R48f5311d2ce64ad0" /></Relationships>
</file>

<file path=xl/worksheets/_rels/sheet5.xml.rels>&#65279;<?xml version="1.0" encoding="utf-8"?><Relationships xmlns="http://schemas.openxmlformats.org/package/2006/relationships"><Relationship Type="http://schemas.openxmlformats.org/officeDocument/2006/relationships/table" Target="/xl/tables/table5.xml" Id="R3bcdb8b90e1943d5" /></Relationships>
</file>

<file path=xl/worksheets/_rels/sheet6.xml.rels>&#65279;<?xml version="1.0" encoding="utf-8"?><Relationships xmlns="http://schemas.openxmlformats.org/package/2006/relationships"><Relationship Type="http://schemas.openxmlformats.org/officeDocument/2006/relationships/table" Target="/xl/tables/table6.xml" Id="R99adc43a40974d82" /></Relationships>
</file>

<file path=xl/worksheets/_rels/sheet7.xml.rels>&#65279;<?xml version="1.0" encoding="utf-8"?><Relationships xmlns="http://schemas.openxmlformats.org/package/2006/relationships"><Relationship Type="http://schemas.openxmlformats.org/officeDocument/2006/relationships/table" Target="/xl/tables/table7.xml" Id="R0a9951dfa42d4c47" /></Relationships>
</file>

<file path=xl/worksheets/_rels/sheet8.xml.rels>&#65279;<?xml version="1.0" encoding="utf-8"?><Relationships xmlns="http://schemas.openxmlformats.org/package/2006/relationships"><Relationship Type="http://schemas.openxmlformats.org/officeDocument/2006/relationships/table" Target="/xl/tables/table8.xml" Id="R950ca98bc9254a6b" /></Relationships>
</file>

<file path=xl/worksheets/_rels/sheet9.xml.rels>&#65279;<?xml version="1.0" encoding="utf-8"?><Relationships xmlns="http://schemas.openxmlformats.org/package/2006/relationships"><Relationship Type="http://schemas.openxmlformats.org/officeDocument/2006/relationships/table" Target="/xl/tables/table9.xml" Id="R0c6489df0b1442ce" /></Relationships>
</file>

<file path=xl/worksheets/sheet1.xml><?xml version="1.0" encoding="utf-8"?>
<x:worksheet xmlns:x="http://schemas.openxmlformats.org/spreadsheetml/2006/main">
  <x:sheetViews>
    <x:sheetView showGridLines="0" workbookViewId="0"/>
  </x:sheetViews>
  <x:sheetFormatPr defaultRowHeight="15"/>
  <x:cols>
    <x:col min="1" max="1" width="36" hidden="0" customWidth="1"/>
    <x:col min="2" max="2" width="24" hidden="0" customWidth="1"/>
    <x:col min="3" max="3" width="4" hidden="0" customWidth="1"/>
    <x:col min="4" max="4" width="24" hidden="0" customWidth="1"/>
    <x:col min="5" max="5" width="24" hidden="0" customWidth="1"/>
    <x:col min="6" max="6" width="24" hidden="0" customWidth="1"/>
  </x:cols>
  <x:sheetData>
    <x:row r="1" ht="32" customHeight="1">
      <x:c r="A1" s="25" t="str">
        <x:v>TeacherOS Day 2 Research Dashboard</x:v>
      </x:c>
      <x:c r="B1" s="25"/>
      <x:c r="C1" s="25"/>
      <x:c r="D1" s="25"/>
      <x:c r="E1" s="25"/>
      <x:c r="F1" s="25"/>
    </x:row>
    <x:row r="2" ht="30" customHeight="1">
      <x:c r="A2" s="26" t="str">
        <x:v>Outcome first: the gate stays closed until five eligible interviews, repeated pain, 10-15 confirmed pilot recruits, validated decisions, and all 90 feature mappings pass.</x:v>
      </x:c>
      <x:c r="B2" s="26"/>
      <x:c r="C2" s="26"/>
      <x:c r="D2" s="26"/>
      <x:c r="E2" s="26"/>
      <x:c r="F2" s="26"/>
    </x:row>
    <x:row r="3">
      <x:c r="A3" s="27"/>
      <x:c r="B3" s="27"/>
      <x:c r="C3" s="27"/>
      <x:c r="D3" s="27"/>
      <x:c r="E3" s="27"/>
      <x:c r="F3" s="27"/>
    </x:row>
    <x:row r="4">
      <x:c r="A4" s="27" t="str">
        <x:v>metric</x:v>
      </x:c>
      <x:c r="B4" s="27" t="str">
        <x:v>value</x:v>
      </x:c>
      <x:c r="C4" s="27"/>
      <x:c r="D4" s="28" t="str">
        <x:v>Current honest interpretation</x:v>
      </x:c>
      <x:c r="E4" s="28"/>
      <x:c r="F4" s="28"/>
    </x:row>
    <x:row r="5">
      <x:c r="A5" s="27" t="str">
        <x:v>research_status</x:v>
      </x:c>
      <x:c r="B5" s="27" t="str">
        <x:f>'Decision'!$B$5</x:f>
        <x:v>hypothesis</x:v>
      </x:c>
      <x:c r="C5" s="27"/>
      <x:c r="D5" s="21" t="str">
        <x:v>No real interviews are recorded yet. The recommended segment, jobs, and product promise are hypotheses. Complete the interview and recruitment work before approving product features. Safety and reliability controls may proceed because their justification is risk reduction, not preference evidence.</x:v>
      </x:c>
      <x:c r="E5" s="21"/>
      <x:c r="F5" s="21"/>
    </x:row>
    <x:row r="6">
      <x:c r="A6" s="27" t="str">
        <x:v>completed_eligible_interviews</x:v>
      </x:c>
      <x:c r="B6" s="27" t="n">
        <x:f>'Decision'!$B$13</x:f>
        <x:v>0</x:v>
      </x:c>
      <x:c r="C6" s="27"/>
      <x:c r="D6" s="21"/>
      <x:c r="E6" s="21"/>
      <x:c r="F6" s="21"/>
    </x:row>
    <x:row r="7">
      <x:c r="A7" s="27" t="str">
        <x:v>confirmed_pilot_recruits</x:v>
      </x:c>
      <x:c r="B7" s="27" t="n">
        <x:f>'Decision'!$B$14</x:f>
        <x:v>0</x:v>
      </x:c>
      <x:c r="C7" s="27"/>
      <x:c r="D7" s="21"/>
      <x:c r="E7" s="21"/>
      <x:c r="F7" s="21"/>
    </x:row>
    <x:row r="8">
      <x:c r="A8" s="27" t="str">
        <x:v>artifact_walkthroughs</x:v>
      </x:c>
      <x:c r="B8" s="27" t="n">
        <x:f>SUM('Interviews'!$H$5:$H$24)</x:f>
        <x:v>0</x:v>
      </x:c>
      <x:c r="C8" s="27"/>
      <x:c r="D8" s="21"/>
      <x:c r="E8" s="21"/>
      <x:c r="F8" s="21"/>
    </x:row>
    <x:row r="9">
      <x:c r="A9" s="27" t="str">
        <x:v>repeated_problem_codes</x:v>
      </x:c>
      <x:c r="B9" s="27" t="n">
        <x:f>'Decision'!$B$15</x:f>
        <x:v>0</x:v>
      </x:c>
      <x:c r="C9" s="27"/>
      <x:c r="D9" s="21"/>
      <x:c r="E9" s="21"/>
      <x:c r="F9" s="21"/>
    </x:row>
    <x:row r="10">
      <x:c r="A10" s="27" t="str">
        <x:v>approved_feature_mappings</x:v>
      </x:c>
      <x:c r="B10" s="27" t="n">
        <x:f>'Decision'!$B$12</x:f>
        <x:v>57</x:v>
      </x:c>
      <x:c r="C10" s="27"/>
      <x:c r="D10" s="27"/>
      <x:c r="E10" s="27"/>
      <x:c r="F10" s="27"/>
    </x:row>
    <x:row r="11">
      <x:c r="A11" s="27" t="str">
        <x:v>feature_mapping_total</x:v>
      </x:c>
      <x:c r="B11" s="27" t="n">
        <x:v>90</x:v>
      </x:c>
      <x:c r="C11" s="27"/>
      <x:c r="D11" s="28" t="str">
        <x:v>Privacy rule</x:v>
      </x:c>
      <x:c r="E11" s="28"/>
      <x:c r="F11" s="28"/>
    </x:row>
    <x:row r="12">
      <x:c r="A12" s="27" t="str">
        <x:v>scoring_weight_total</x:v>
      </x:c>
      <x:c r="B12" s="29" t="n">
        <x:f>'Scoring'!$B$10</x:f>
        <x:v>1</x:v>
      </x:c>
      <x:c r="C12" s="27"/>
      <x:c r="D12" s="23" t="str">
        <x:v>Do not enter names, Telegram handles, phone numbers, school names, raw recordings, or student artifacts here. Store private source material only under ignored research_private/day02/ and reference it by anonymous ID.</x:v>
      </x:c>
      <x:c r="E12" s="23"/>
      <x:c r="F12" s="23"/>
    </x:row>
    <x:row r="13">
      <x:c r="A13" s="27" t="str">
        <x:v>day_2_gate</x:v>
      </x:c>
      <x:c r="B13" s="27" t="str">
        <x:f>'Decision'!$B$16</x:f>
        <x:v>CLOSED</x:v>
      </x:c>
      <x:c r="C13" s="27"/>
      <x:c r="D13" s="23"/>
      <x:c r="E13" s="23"/>
      <x:c r="F13" s="23"/>
    </x:row>
    <x:row r="14">
      <x:c r="A14" s="27"/>
      <x:c r="B14" s="27"/>
      <x:c r="C14" s="27"/>
      <x:c r="D14" s="23"/>
      <x:c r="E14" s="23"/>
      <x:c r="F14" s="23"/>
    </x:row>
    <x:row r="15">
      <x:c r="A15" s="27"/>
      <x:c r="B15" s="27"/>
      <x:c r="C15" s="27"/>
      <x:c r="D15" s="23"/>
      <x:c r="E15" s="23"/>
      <x:c r="F15" s="23"/>
    </x:row>
  </x:sheetData>
  <x:mergeCells>
    <x:mergeCell ref="A1:F1"/>
    <x:mergeCell ref="A2:F2"/>
    <x:mergeCell ref="D4:F4"/>
    <x:mergeCell ref="D5:F9"/>
    <x:mergeCell ref="D11:F11"/>
    <x:mergeCell ref="D12:F15"/>
  </x:mergeCells>
  <x:conditionalFormatting sqref="B5:B13">
    <x:cfRule type="containsText" dxfId="35" priority="1" operator="containsText" text="approved"/>
    <x:cfRule type="containsText" dxfId="36" priority="2" operator="containsText" text="completed"/>
    <x:cfRule type="containsText" dxfId="37" priority="3" operator="containsText" text="validated"/>
    <x:cfRule type="containsText" dxfId="38" priority="4" operator="containsText" text="pending"/>
    <x:cfRule type="containsText" dxfId="39" priority="5" operator="containsText" text="blocked"/>
  </x:conditionalFormatting>
  <x:pageMargins left="0.7" right="0.7" top="0.75" bottom="0.75" header="0.3" footer="0.3"/>
  <x:tableParts count="1">
    <x:tablePart xmlns:r="http://schemas.openxmlformats.org/officeDocument/2006/relationships" r:id="Rfafc2df51c814d2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20" hidden="0" customWidth="1"/>
    <x:col min="4" max="4" width="14" hidden="0" customWidth="1"/>
    <x:col min="5" max="5" width="14" hidden="0" customWidth="1"/>
    <x:col min="6" max="6" width="12" hidden="0" customWidth="1"/>
    <x:col min="7" max="7" width="14" hidden="0" customWidth="1"/>
    <x:col min="8" max="8" width="17" hidden="0" customWidth="1"/>
    <x:col min="9" max="9" width="18" hidden="0" customWidth="1"/>
    <x:col min="10" max="10" width="15" hidden="0" customWidth="1"/>
    <x:col min="11" max="11" width="18" hidden="0" customWidth="1"/>
    <x:col min="12" max="12" width="18" hidden="0" customWidth="1"/>
    <x:col min="13" max="13" width="42" hidden="0" customWidth="1"/>
  </x:cols>
  <x:sheetData>
    <x:row r="1" ht="32" customHeight="1">
      <x:c r="A1" s="25" t="str">
        <x:v>Day 2 Recruitment Tracker</x:v>
      </x:c>
      <x:c r="B1" s="25"/>
      <x:c r="C1" s="25"/>
      <x:c r="D1" s="25"/>
      <x:c r="E1" s="25"/>
      <x:c r="F1" s="25"/>
      <x:c r="G1" s="25"/>
      <x:c r="H1" s="25"/>
      <x:c r="I1" s="25"/>
      <x:c r="J1" s="25"/>
      <x:c r="K1" s="25"/>
      <x:c r="L1" s="25"/>
      <x:c r="M1" s="25"/>
    </x:row>
    <x:row r="2" ht="30" customHeight="1">
      <x:c r="A2" s="26" t="str">
        <x:v>Privacy-safe tracker. Store names, handles, recordings, and raw artifacts only in ignored research_private/day02/.</x:v>
      </x:c>
      <x:c r="B2" s="26"/>
      <x:c r="C2" s="26"/>
      <x:c r="D2" s="26"/>
      <x:c r="E2" s="26"/>
      <x:c r="F2" s="26"/>
      <x:c r="G2" s="26"/>
      <x:c r="H2" s="26"/>
      <x:c r="I2" s="26"/>
      <x:c r="J2" s="26"/>
      <x:c r="K2" s="26"/>
      <x:c r="L2" s="26"/>
      <x:c r="M2" s="26"/>
    </x:row>
    <x:row r="3">
      <x:c r="A3" s="27"/>
      <x:c r="B3" s="27"/>
      <x:c r="C3" s="27"/>
      <x:c r="D3" s="27"/>
      <x:c r="E3" s="27"/>
      <x:c r="F3" s="27"/>
      <x:c r="G3" s="27"/>
      <x:c r="H3" s="27"/>
      <x:c r="I3" s="27"/>
      <x:c r="J3" s="27"/>
      <x:c r="K3" s="27"/>
      <x:c r="L3" s="27"/>
      <x:c r="M3" s="27"/>
    </x:row>
    <x:row r="4">
      <x:c r="A4" s="27" t="str">
        <x:v>participant_id</x:v>
      </x:c>
      <x:c r="B4" s="27" t="str">
        <x:v>candidate_status</x:v>
      </x:c>
      <x:c r="C4" s="27" t="str">
        <x:v>teacher_type</x:v>
      </x:c>
      <x:c r="D4" s="27" t="str">
        <x:v>recurring_lessons_per_week</x:v>
      </x:c>
      <x:c r="E4" s="27" t="str">
        <x:v>telegram_daily</x:v>
      </x:c>
      <x:c r="F4" s="27" t="str">
        <x:v>eligible</x:v>
      </x:c>
      <x:c r="G4" s="27" t="str">
        <x:v>interview_date</x:v>
      </x:c>
      <x:c r="H4" s="27" t="str">
        <x:v>interview_status</x:v>
      </x:c>
      <x:c r="I4" s="27" t="str">
        <x:v>artifact_willingness</x:v>
      </x:c>
      <x:c r="J4" s="27" t="str">
        <x:v>pilot_status</x:v>
      </x:c>
      <x:c r="K4" s="27" t="str">
        <x:v>consent_to_recontact</x:v>
      </x:c>
      <x:c r="L4" s="27" t="str">
        <x:v>source_channel</x:v>
      </x:c>
      <x:c r="M4" s="27" t="str">
        <x:v>deidentified_notes</x:v>
      </x:c>
    </x:row>
    <x:row r="5">
      <x:c r="A5" s="27" t="str">
        <x:v>P01</x:v>
      </x:c>
      <x:c r="B5" s="27" t="str">
        <x:v>not_contacted</x:v>
      </x:c>
      <x:c r="C5" s="27" t="str">
        <x:v>private_tutor</x:v>
      </x:c>
      <x:c r="D5" s="27"/>
      <x:c r="E5" s="27" t="str">
        <x:v>unknown</x:v>
      </x:c>
      <x:c r="F5" s="27" t="str">
        <x:f>IF(AND(D5&gt;=2,E5="yes"),"yes",IF(OR(D5="",E5="unknown"),"unknown","no"))</x:f>
        <x:v>unknown</x:v>
      </x:c>
      <x:c r="G5" s="30"/>
      <x:c r="H5" s="27" t="str">
        <x:f>IF(COUNTIFS('Interviews'!$C$5:$C$24,A5,'Interviews'!$B$5:$B$24,"completed")&gt;0,"completed","not_completed")</x:f>
        <x:v>not_completed</x:v>
      </x:c>
      <x:c r="I5" s="27" t="str">
        <x:v>unknown</x:v>
      </x:c>
      <x:c r="J5" s="27" t="str">
        <x:v>not_asked</x:v>
      </x:c>
      <x:c r="K5" s="27" t="str">
        <x:v>unknown</x:v>
      </x:c>
      <x:c r="L5" s="27" t="str"/>
      <x:c r="M5" s="27" t="str"/>
    </x:row>
    <x:row r="6">
      <x:c r="A6" s="27" t="str">
        <x:v>P02</x:v>
      </x:c>
      <x:c r="B6" s="27" t="str">
        <x:v>not_contacted</x:v>
      </x:c>
      <x:c r="C6" s="27" t="str">
        <x:v>institute</x:v>
      </x:c>
      <x:c r="D6" s="27"/>
      <x:c r="E6" s="27" t="str">
        <x:v>unknown</x:v>
      </x:c>
      <x:c r="F6" s="27" t="str">
        <x:f>IF(AND(D6&gt;=2,E6="yes"),"yes",IF(OR(D6="",E6="unknown"),"unknown","no"))</x:f>
        <x:v>unknown</x:v>
      </x:c>
      <x:c r="G6" s="30"/>
      <x:c r="H6" s="27" t="str">
        <x:f>IF(COUNTIFS('Interviews'!$C$5:$C$24,A6,'Interviews'!$B$5:$B$24,"completed")&gt;0,"completed","not_completed")</x:f>
        <x:v>not_completed</x:v>
      </x:c>
      <x:c r="I6" s="27" t="str">
        <x:v>unknown</x:v>
      </x:c>
      <x:c r="J6" s="27" t="str">
        <x:v>not_asked</x:v>
      </x:c>
      <x:c r="K6" s="27" t="str">
        <x:v>unknown</x:v>
      </x:c>
      <x:c r="L6" s="27" t="str"/>
      <x:c r="M6" s="27" t="str"/>
    </x:row>
    <x:row r="7">
      <x:c r="A7" s="27" t="str">
        <x:v>P03</x:v>
      </x:c>
      <x:c r="B7" s="27" t="str">
        <x:v>not_contacted</x:v>
      </x:c>
      <x:c r="C7" s="27" t="str">
        <x:v>online</x:v>
      </x:c>
      <x:c r="D7" s="27"/>
      <x:c r="E7" s="27" t="str">
        <x:v>unknown</x:v>
      </x:c>
      <x:c r="F7" s="27" t="str">
        <x:f>IF(AND(D7&gt;=2,E7="yes"),"yes",IF(OR(D7="",E7="unknown"),"unknown","no"))</x:f>
        <x:v>unknown</x:v>
      </x:c>
      <x:c r="G7" s="30"/>
      <x:c r="H7" s="27" t="str">
        <x:f>IF(COUNTIFS('Interviews'!$C$5:$C$24,A7,'Interviews'!$B$5:$B$24,"completed")&gt;0,"completed","not_completed")</x:f>
        <x:v>not_completed</x:v>
      </x:c>
      <x:c r="I7" s="27" t="str">
        <x:v>unknown</x:v>
      </x:c>
      <x:c r="J7" s="27" t="str">
        <x:v>not_asked</x:v>
      </x:c>
      <x:c r="K7" s="27" t="str">
        <x:v>unknown</x:v>
      </x:c>
      <x:c r="L7" s="27" t="str"/>
      <x:c r="M7" s="27" t="str"/>
    </x:row>
    <x:row r="8">
      <x:c r="A8" s="27" t="str">
        <x:v>P04</x:v>
      </x:c>
      <x:c r="B8" s="27" t="str">
        <x:v>not_contacted</x:v>
      </x:c>
      <x:c r="C8" s="27" t="str">
        <x:v>school_university</x:v>
      </x:c>
      <x:c r="D8" s="27"/>
      <x:c r="E8" s="27" t="str">
        <x:v>unknown</x:v>
      </x:c>
      <x:c r="F8" s="27" t="str">
        <x:f>IF(AND(D8&gt;=2,E8="yes"),"yes",IF(OR(D8="",E8="unknown"),"unknown","no"))</x:f>
        <x:v>unknown</x:v>
      </x:c>
      <x:c r="G8" s="30"/>
      <x:c r="H8" s="27" t="str">
        <x:f>IF(COUNTIFS('Interviews'!$C$5:$C$24,A8,'Interviews'!$B$5:$B$24,"completed")&gt;0,"completed","not_completed")</x:f>
        <x:v>not_completed</x:v>
      </x:c>
      <x:c r="I8" s="27" t="str">
        <x:v>unknown</x:v>
      </x:c>
      <x:c r="J8" s="27" t="str">
        <x:v>not_asked</x:v>
      </x:c>
      <x:c r="K8" s="27" t="str">
        <x:v>unknown</x:v>
      </x:c>
      <x:c r="L8" s="27" t="str"/>
      <x:c r="M8" s="27" t="str"/>
    </x:row>
    <x:row r="9">
      <x:c r="A9" s="27" t="str">
        <x:v>P05</x:v>
      </x:c>
      <x:c r="B9" s="27" t="str">
        <x:v>not_contacted</x:v>
      </x:c>
      <x:c r="C9" s="27" t="str">
        <x:v>private_tutor</x:v>
      </x:c>
      <x:c r="D9" s="27"/>
      <x:c r="E9" s="27" t="str">
        <x:v>unknown</x:v>
      </x:c>
      <x:c r="F9" s="27" t="str">
        <x:f>IF(AND(D9&gt;=2,E9="yes"),"yes",IF(OR(D9="",E9="unknown"),"unknown","no"))</x:f>
        <x:v>unknown</x:v>
      </x:c>
      <x:c r="G9" s="30"/>
      <x:c r="H9" s="27" t="str">
        <x:f>IF(COUNTIFS('Interviews'!$C$5:$C$24,A9,'Interviews'!$B$5:$B$24,"completed")&gt;0,"completed","not_completed")</x:f>
        <x:v>not_completed</x:v>
      </x:c>
      <x:c r="I9" s="27" t="str">
        <x:v>unknown</x:v>
      </x:c>
      <x:c r="J9" s="27" t="str">
        <x:v>not_asked</x:v>
      </x:c>
      <x:c r="K9" s="27" t="str">
        <x:v>unknown</x:v>
      </x:c>
      <x:c r="L9" s="27" t="str"/>
      <x:c r="M9" s="27" t="str"/>
    </x:row>
    <x:row r="10">
      <x:c r="A10" s="27" t="str">
        <x:v>P06</x:v>
      </x:c>
      <x:c r="B10" s="27" t="str">
        <x:v>not_contacted</x:v>
      </x:c>
      <x:c r="C10" s="27" t="str">
        <x:v>institute</x:v>
      </x:c>
      <x:c r="D10" s="27"/>
      <x:c r="E10" s="27" t="str">
        <x:v>unknown</x:v>
      </x:c>
      <x:c r="F10" s="27" t="str">
        <x:f>IF(AND(D10&gt;=2,E10="yes"),"yes",IF(OR(D10="",E10="unknown"),"unknown","no"))</x:f>
        <x:v>unknown</x:v>
      </x:c>
      <x:c r="G10" s="30"/>
      <x:c r="H10" s="27" t="str">
        <x:f>IF(COUNTIFS('Interviews'!$C$5:$C$24,A10,'Interviews'!$B$5:$B$24,"completed")&gt;0,"completed","not_completed")</x:f>
        <x:v>not_completed</x:v>
      </x:c>
      <x:c r="I10" s="27" t="str">
        <x:v>unknown</x:v>
      </x:c>
      <x:c r="J10" s="27" t="str">
        <x:v>not_asked</x:v>
      </x:c>
      <x:c r="K10" s="27" t="str">
        <x:v>unknown</x:v>
      </x:c>
      <x:c r="L10" s="27" t="str"/>
      <x:c r="M10" s="27" t="str"/>
    </x:row>
    <x:row r="11">
      <x:c r="A11" s="27" t="str">
        <x:v>P07</x:v>
      </x:c>
      <x:c r="B11" s="27" t="str">
        <x:v>not_contacted</x:v>
      </x:c>
      <x:c r="C11" s="27" t="str">
        <x:v>online</x:v>
      </x:c>
      <x:c r="D11" s="27"/>
      <x:c r="E11" s="27" t="str">
        <x:v>unknown</x:v>
      </x:c>
      <x:c r="F11" s="27" t="str">
        <x:f>IF(AND(D11&gt;=2,E11="yes"),"yes",IF(OR(D11="",E11="unknown"),"unknown","no"))</x:f>
        <x:v>unknown</x:v>
      </x:c>
      <x:c r="G11" s="30"/>
      <x:c r="H11" s="27" t="str">
        <x:f>IF(COUNTIFS('Interviews'!$C$5:$C$24,A11,'Interviews'!$B$5:$B$24,"completed")&gt;0,"completed","not_completed")</x:f>
        <x:v>not_completed</x:v>
      </x:c>
      <x:c r="I11" s="27" t="str">
        <x:v>unknown</x:v>
      </x:c>
      <x:c r="J11" s="27" t="str">
        <x:v>not_asked</x:v>
      </x:c>
      <x:c r="K11" s="27" t="str">
        <x:v>unknown</x:v>
      </x:c>
      <x:c r="L11" s="27" t="str"/>
      <x:c r="M11" s="27" t="str"/>
    </x:row>
    <x:row r="12">
      <x:c r="A12" s="27" t="str">
        <x:v>P08</x:v>
      </x:c>
      <x:c r="B12" s="27" t="str">
        <x:v>not_contacted</x:v>
      </x:c>
      <x:c r="C12" s="27" t="str">
        <x:v>school_university</x:v>
      </x:c>
      <x:c r="D12" s="27"/>
      <x:c r="E12" s="27" t="str">
        <x:v>unknown</x:v>
      </x:c>
      <x:c r="F12" s="27" t="str">
        <x:f>IF(AND(D12&gt;=2,E12="yes"),"yes",IF(OR(D12="",E12="unknown"),"unknown","no"))</x:f>
        <x:v>unknown</x:v>
      </x:c>
      <x:c r="G12" s="30"/>
      <x:c r="H12" s="27" t="str">
        <x:f>IF(COUNTIFS('Interviews'!$C$5:$C$24,A12,'Interviews'!$B$5:$B$24,"completed")&gt;0,"completed","not_completed")</x:f>
        <x:v>not_completed</x:v>
      </x:c>
      <x:c r="I12" s="27" t="str">
        <x:v>unknown</x:v>
      </x:c>
      <x:c r="J12" s="27" t="str">
        <x:v>not_asked</x:v>
      </x:c>
      <x:c r="K12" s="27" t="str">
        <x:v>unknown</x:v>
      </x:c>
      <x:c r="L12" s="27" t="str"/>
      <x:c r="M12" s="27" t="str"/>
    </x:row>
    <x:row r="13">
      <x:c r="A13" s="27" t="str">
        <x:v>P09</x:v>
      </x:c>
      <x:c r="B13" s="27" t="str">
        <x:v>not_contacted</x:v>
      </x:c>
      <x:c r="C13" s="27" t="str">
        <x:v>private_tutor</x:v>
      </x:c>
      <x:c r="D13" s="27"/>
      <x:c r="E13" s="27" t="str">
        <x:v>unknown</x:v>
      </x:c>
      <x:c r="F13" s="27" t="str">
        <x:f>IF(AND(D13&gt;=2,E13="yes"),"yes",IF(OR(D13="",E13="unknown"),"unknown","no"))</x:f>
        <x:v>unknown</x:v>
      </x:c>
      <x:c r="G13" s="30"/>
      <x:c r="H13" s="27" t="str">
        <x:f>IF(COUNTIFS('Interviews'!$C$5:$C$24,A13,'Interviews'!$B$5:$B$24,"completed")&gt;0,"completed","not_completed")</x:f>
        <x:v>not_completed</x:v>
      </x:c>
      <x:c r="I13" s="27" t="str">
        <x:v>unknown</x:v>
      </x:c>
      <x:c r="J13" s="27" t="str">
        <x:v>not_asked</x:v>
      </x:c>
      <x:c r="K13" s="27" t="str">
        <x:v>unknown</x:v>
      </x:c>
      <x:c r="L13" s="27" t="str"/>
      <x:c r="M13" s="27" t="str"/>
    </x:row>
    <x:row r="14">
      <x:c r="A14" s="27" t="str">
        <x:v>P10</x:v>
      </x:c>
      <x:c r="B14" s="27" t="str">
        <x:v>not_contacted</x:v>
      </x:c>
      <x:c r="C14" s="27" t="str">
        <x:v>institute</x:v>
      </x:c>
      <x:c r="D14" s="27"/>
      <x:c r="E14" s="27" t="str">
        <x:v>unknown</x:v>
      </x:c>
      <x:c r="F14" s="27" t="str">
        <x:f>IF(AND(D14&gt;=2,E14="yes"),"yes",IF(OR(D14="",E14="unknown"),"unknown","no"))</x:f>
        <x:v>unknown</x:v>
      </x:c>
      <x:c r="G14" s="30"/>
      <x:c r="H14" s="27" t="str">
        <x:f>IF(COUNTIFS('Interviews'!$C$5:$C$24,A14,'Interviews'!$B$5:$B$24,"completed")&gt;0,"completed","not_completed")</x:f>
        <x:v>not_completed</x:v>
      </x:c>
      <x:c r="I14" s="27" t="str">
        <x:v>unknown</x:v>
      </x:c>
      <x:c r="J14" s="27" t="str">
        <x:v>not_asked</x:v>
      </x:c>
      <x:c r="K14" s="27" t="str">
        <x:v>unknown</x:v>
      </x:c>
      <x:c r="L14" s="27" t="str"/>
      <x:c r="M14" s="27" t="str"/>
    </x:row>
    <x:row r="15">
      <x:c r="A15" s="27" t="str">
        <x:v>P11</x:v>
      </x:c>
      <x:c r="B15" s="27" t="str">
        <x:v>not_contacted</x:v>
      </x:c>
      <x:c r="C15" s="27" t="str">
        <x:v>online</x:v>
      </x:c>
      <x:c r="D15" s="27"/>
      <x:c r="E15" s="27" t="str">
        <x:v>unknown</x:v>
      </x:c>
      <x:c r="F15" s="27" t="str">
        <x:f>IF(AND(D15&gt;=2,E15="yes"),"yes",IF(OR(D15="",E15="unknown"),"unknown","no"))</x:f>
        <x:v>unknown</x:v>
      </x:c>
      <x:c r="G15" s="30"/>
      <x:c r="H15" s="27" t="str">
        <x:f>IF(COUNTIFS('Interviews'!$C$5:$C$24,A15,'Interviews'!$B$5:$B$24,"completed")&gt;0,"completed","not_completed")</x:f>
        <x:v>not_completed</x:v>
      </x:c>
      <x:c r="I15" s="27" t="str">
        <x:v>unknown</x:v>
      </x:c>
      <x:c r="J15" s="27" t="str">
        <x:v>not_asked</x:v>
      </x:c>
      <x:c r="K15" s="27" t="str">
        <x:v>unknown</x:v>
      </x:c>
      <x:c r="L15" s="27" t="str"/>
      <x:c r="M15" s="27" t="str"/>
    </x:row>
    <x:row r="16">
      <x:c r="A16" s="27" t="str">
        <x:v>P12</x:v>
      </x:c>
      <x:c r="B16" s="27" t="str">
        <x:v>not_contacted</x:v>
      </x:c>
      <x:c r="C16" s="27" t="str">
        <x:v>school_university</x:v>
      </x:c>
      <x:c r="D16" s="27"/>
      <x:c r="E16" s="27" t="str">
        <x:v>unknown</x:v>
      </x:c>
      <x:c r="F16" s="27" t="str">
        <x:f>IF(AND(D16&gt;=2,E16="yes"),"yes",IF(OR(D16="",E16="unknown"),"unknown","no"))</x:f>
        <x:v>unknown</x:v>
      </x:c>
      <x:c r="G16" s="30"/>
      <x:c r="H16" s="27" t="str">
        <x:f>IF(COUNTIFS('Interviews'!$C$5:$C$24,A16,'Interviews'!$B$5:$B$24,"completed")&gt;0,"completed","not_completed")</x:f>
        <x:v>not_completed</x:v>
      </x:c>
      <x:c r="I16" s="27" t="str">
        <x:v>unknown</x:v>
      </x:c>
      <x:c r="J16" s="27" t="str">
        <x:v>not_asked</x:v>
      </x:c>
      <x:c r="K16" s="27" t="str">
        <x:v>unknown</x:v>
      </x:c>
      <x:c r="L16" s="27" t="str"/>
      <x:c r="M16" s="27" t="str"/>
    </x:row>
    <x:row r="17">
      <x:c r="A17" s="27" t="str">
        <x:v>P13</x:v>
      </x:c>
      <x:c r="B17" s="27" t="str">
        <x:v>not_contacted</x:v>
      </x:c>
      <x:c r="C17" s="27" t="str">
        <x:v>private_tutor</x:v>
      </x:c>
      <x:c r="D17" s="27"/>
      <x:c r="E17" s="27" t="str">
        <x:v>unknown</x:v>
      </x:c>
      <x:c r="F17" s="27" t="str">
        <x:f>IF(AND(D17&gt;=2,E17="yes"),"yes",IF(OR(D17="",E17="unknown"),"unknown","no"))</x:f>
        <x:v>unknown</x:v>
      </x:c>
      <x:c r="G17" s="30"/>
      <x:c r="H17" s="27" t="str">
        <x:f>IF(COUNTIFS('Interviews'!$C$5:$C$24,A17,'Interviews'!$B$5:$B$24,"completed")&gt;0,"completed","not_completed")</x:f>
        <x:v>not_completed</x:v>
      </x:c>
      <x:c r="I17" s="27" t="str">
        <x:v>unknown</x:v>
      </x:c>
      <x:c r="J17" s="27" t="str">
        <x:v>not_asked</x:v>
      </x:c>
      <x:c r="K17" s="27" t="str">
        <x:v>unknown</x:v>
      </x:c>
      <x:c r="L17" s="27" t="str"/>
      <x:c r="M17" s="27" t="str"/>
    </x:row>
    <x:row r="18">
      <x:c r="A18" s="27" t="str">
        <x:v>P14</x:v>
      </x:c>
      <x:c r="B18" s="27" t="str">
        <x:v>not_contacted</x:v>
      </x:c>
      <x:c r="C18" s="27" t="str">
        <x:v>institute</x:v>
      </x:c>
      <x:c r="D18" s="27"/>
      <x:c r="E18" s="27" t="str">
        <x:v>unknown</x:v>
      </x:c>
      <x:c r="F18" s="27" t="str">
        <x:f>IF(AND(D18&gt;=2,E18="yes"),"yes",IF(OR(D18="",E18="unknown"),"unknown","no"))</x:f>
        <x:v>unknown</x:v>
      </x:c>
      <x:c r="G18" s="30"/>
      <x:c r="H18" s="27" t="str">
        <x:f>IF(COUNTIFS('Interviews'!$C$5:$C$24,A18,'Interviews'!$B$5:$B$24,"completed")&gt;0,"completed","not_completed")</x:f>
        <x:v>not_completed</x:v>
      </x:c>
      <x:c r="I18" s="27" t="str">
        <x:v>unknown</x:v>
      </x:c>
      <x:c r="J18" s="27" t="str">
        <x:v>not_asked</x:v>
      </x:c>
      <x:c r="K18" s="27" t="str">
        <x:v>unknown</x:v>
      </x:c>
      <x:c r="L18" s="27" t="str"/>
      <x:c r="M18" s="27" t="str"/>
    </x:row>
    <x:row r="19">
      <x:c r="A19" s="27" t="str">
        <x:v>P15</x:v>
      </x:c>
      <x:c r="B19" s="27" t="str">
        <x:v>not_contacted</x:v>
      </x:c>
      <x:c r="C19" s="27" t="str">
        <x:v>online</x:v>
      </x:c>
      <x:c r="D19" s="27"/>
      <x:c r="E19" s="27" t="str">
        <x:v>unknown</x:v>
      </x:c>
      <x:c r="F19" s="27" t="str">
        <x:f>IF(AND(D19&gt;=2,E19="yes"),"yes",IF(OR(D19="",E19="unknown"),"unknown","no"))</x:f>
        <x:v>unknown</x:v>
      </x:c>
      <x:c r="G19" s="30"/>
      <x:c r="H19" s="27" t="str">
        <x:f>IF(COUNTIFS('Interviews'!$C$5:$C$24,A19,'Interviews'!$B$5:$B$24,"completed")&gt;0,"completed","not_completed")</x:f>
        <x:v>not_completed</x:v>
      </x:c>
      <x:c r="I19" s="27" t="str">
        <x:v>unknown</x:v>
      </x:c>
      <x:c r="J19" s="27" t="str">
        <x:v>not_asked</x:v>
      </x:c>
      <x:c r="K19" s="27" t="str">
        <x:v>unknown</x:v>
      </x:c>
      <x:c r="L19" s="27" t="str"/>
      <x:c r="M19" s="27" t="str"/>
    </x:row>
  </x:sheetData>
  <x:mergeCells>
    <x:mergeCell ref="A1:M1"/>
    <x:mergeCell ref="A2:M2"/>
  </x:mergeCells>
  <x:conditionalFormatting sqref="B5:J19">
    <x:cfRule type="containsText" dxfId="0" priority="1" operator="containsText" text="approved"/>
    <x:cfRule type="containsText" dxfId="1" priority="2" operator="containsText" text="completed"/>
    <x:cfRule type="containsText" dxfId="2" priority="3" operator="containsText" text="validated"/>
    <x:cfRule type="containsText" dxfId="3" priority="4" operator="containsText" text="pending"/>
    <x:cfRule type="containsText" dxfId="4" priority="5" operator="containsText" text="blocked"/>
  </x:conditionalFormatting>
  <x:dataValidations count="7">
    <x:dataValidation type="list" sqref="B5:B19">
      <x:formula1>"not_contacted,invited,screened,scheduled,declined"</x:formula1>
    </x:dataValidation>
    <x:dataValidation type="list" sqref="C5:C19">
      <x:formula1>"private_tutor,institute,online,school_university,other"</x:formula1>
    </x:dataValidation>
    <x:dataValidation type="whole" operator="between" sqref="D5:D19">
      <x:formula1>0</x:formula1>
      <x:formula2>50</x:formula2>
    </x:dataValidation>
    <x:dataValidation type="list" sqref="E5:E19">
      <x:formula1>"yes,no,unknown"</x:formula1>
    </x:dataValidation>
    <x:dataValidation type="list" sqref="I5:I19">
      <x:formula1>"yes,no,unknown"</x:formula1>
    </x:dataValidation>
    <x:dataValidation type="list" sqref="J5:J19">
      <x:formula1>"not_asked,interested,confirmed,declined"</x:formula1>
    </x:dataValidation>
    <x:dataValidation type="list" sqref="K5:K19">
      <x:formula1>"yes,no,unknown"</x:formula1>
    </x:dataValidation>
  </x:dataValidations>
  <x:pageMargins left="0.7" right="0.7" top="0.75" bottom="0.75" header="0.3" footer="0.3"/>
  <x:tableParts count="1">
    <x:tablePart xmlns:r="http://schemas.openxmlformats.org/officeDocument/2006/relationships" r:id="Rc4e4b5fcc3da402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4" hidden="0" customWidth="1"/>
    <x:col min="3" max="3" width="13" hidden="0" customWidth="1"/>
    <x:col min="4" max="4" width="11" hidden="0" customWidth="1"/>
    <x:col min="5" max="5" width="14" hidden="0" customWidth="1"/>
    <x:col min="6" max="6" width="34" hidden="0" customWidth="1"/>
    <x:col min="7" max="7" width="20" hidden="0" customWidth="1"/>
    <x:col min="8" max="8" width="12" hidden="0" customWidth="1"/>
    <x:col min="9" max="9" width="13" hidden="0" customWidth="1"/>
    <x:col min="10" max="10" width="14" hidden="0" customWidth="1"/>
    <x:col min="11" max="11" width="34" hidden="0" customWidth="1"/>
    <x:col min="12" max="12" width="34" hidden="0" customWidth="1"/>
    <x:col min="13" max="13" width="28" hidden="0" customWidth="1"/>
    <x:col min="14" max="14" width="30" hidden="0" customWidth="1"/>
    <x:col min="15" max="15" width="28" hidden="0" customWidth="1"/>
    <x:col min="16" max="16" width="28" hidden="0" customWidth="1"/>
    <x:col min="17" max="17" width="12" hidden="0" customWidth="1"/>
    <x:col min="18" max="18" width="12" hidden="0" customWidth="1"/>
    <x:col min="19" max="19" width="14" hidden="0" customWidth="1"/>
    <x:col min="20" max="20" width="15" hidden="0" customWidth="1"/>
    <x:col min="21" max="21" width="14" hidden="0" customWidth="1"/>
    <x:col min="22" max="22" width="14" hidden="0" customWidth="1"/>
    <x:col min="23" max="23" width="42" hidden="0" customWidth="1"/>
  </x:cols>
  <x:sheetData>
    <x:row r="1" ht="32" customHeight="1">
      <x:c r="A1" s="25" t="str">
        <x:v>Day 2 Interview Evidence Ledger</x:v>
      </x:c>
      <x:c r="B1" s="25"/>
      <x:c r="C1" s="25"/>
      <x:c r="D1" s="25"/>
      <x:c r="E1" s="25"/>
      <x:c r="F1" s="25"/>
      <x:c r="G1" s="25"/>
      <x:c r="H1" s="25"/>
      <x:c r="I1" s="25"/>
      <x:c r="J1" s="25"/>
      <x:c r="K1" s="25"/>
      <x:c r="L1" s="25"/>
      <x:c r="M1" s="25"/>
      <x:c r="N1" s="25"/>
      <x:c r="O1" s="25"/>
      <x:c r="P1" s="25"/>
      <x:c r="Q1" s="25"/>
      <x:c r="R1" s="25"/>
      <x:c r="S1" s="25"/>
      <x:c r="T1" s="25"/>
      <x:c r="U1" s="25"/>
      <x:c r="V1" s="25"/>
      <x:c r="W1" s="25"/>
    </x:row>
    <x:row r="2" ht="30" customHeight="1">
      <x:c r="A2" s="26" t="str">
        <x:v>One row per completed interview. Describe the last real task and observed workflow; do not paste names, contact details, raw student work, or long quotes.</x:v>
      </x:c>
      <x:c r="B2" s="26"/>
      <x:c r="C2" s="26"/>
      <x:c r="D2" s="26"/>
      <x:c r="E2" s="26"/>
      <x:c r="F2" s="26"/>
      <x:c r="G2" s="26"/>
      <x:c r="H2" s="26"/>
      <x:c r="I2" s="26"/>
      <x:c r="J2" s="26"/>
      <x:c r="K2" s="26"/>
      <x:c r="L2" s="26"/>
      <x:c r="M2" s="26"/>
      <x:c r="N2" s="26"/>
      <x:c r="O2" s="26"/>
      <x:c r="P2" s="26"/>
      <x:c r="Q2" s="26"/>
      <x:c r="R2" s="26"/>
      <x:c r="S2" s="26"/>
      <x:c r="T2" s="26"/>
      <x:c r="U2" s="26"/>
      <x:c r="V2" s="26"/>
      <x:c r="W2" s="26"/>
    </x:row>
    <x:row r="3">
      <x:c r="A3" s="27"/>
      <x:c r="B3" s="27"/>
      <x:c r="C3" s="27"/>
      <x:c r="D3" s="27"/>
      <x:c r="E3" s="27"/>
      <x:c r="F3" s="27"/>
      <x:c r="G3" s="27"/>
      <x:c r="H3" s="27"/>
      <x:c r="I3" s="27"/>
      <x:c r="J3" s="27"/>
      <x:c r="K3" s="27"/>
      <x:c r="L3" s="27"/>
      <x:c r="M3" s="27"/>
      <x:c r="N3" s="27"/>
      <x:c r="O3" s="27"/>
      <x:c r="P3" s="27"/>
      <x:c r="Q3" s="27"/>
      <x:c r="R3" s="27"/>
      <x:c r="S3" s="27"/>
      <x:c r="T3" s="27"/>
      <x:c r="U3" s="27"/>
      <x:c r="V3" s="27"/>
      <x:c r="W3" s="27"/>
    </x:row>
    <x:row r="4">
      <x:c r="A4" s="27" t="str">
        <x:v>interview_id</x:v>
      </x:c>
      <x:c r="B4" s="27" t="str">
        <x:v>status</x:v>
      </x:c>
      <x:c r="C4" s="27" t="str">
        <x:v>participant_id</x:v>
      </x:c>
      <x:c r="D4" s="27" t="str">
        <x:v>eligible</x:v>
      </x:c>
      <x:c r="E4" s="27" t="str">
        <x:v>interview_date</x:v>
      </x:c>
      <x:c r="F4" s="27" t="str">
        <x:v>last_real_task</x:v>
      </x:c>
      <x:c r="G4" s="27" t="str">
        <x:v>artifact_ids</x:v>
      </x:c>
      <x:c r="H4" s="27" t="str">
        <x:v>artifact_count</x:v>
      </x:c>
      <x:c r="I4" s="27" t="str">
        <x:v>minutes_spent</x:v>
      </x:c>
      <x:c r="J4" s="27" t="str">
        <x:v>problem_code</x:v>
      </x:c>
      <x:c r="K4" s="27" t="str">
        <x:v>pain_observed</x:v>
      </x:c>
      <x:c r="L4" s="27" t="str">
        <x:v>current_workaround</x:v>
      </x:c>
      <x:c r="M4" s="27" t="str">
        <x:v>consequence</x:v>
      </x:c>
      <x:c r="N4" s="27" t="str">
        <x:v>desired_outcome</x:v>
      </x:c>
      <x:c r="O4" s="27" t="str">
        <x:v>proof_of_success</x:v>
      </x:c>
      <x:c r="P4" s="27" t="str">
        <x:v>trust_concern</x:v>
      </x:c>
      <x:c r="Q4" s="27" t="str">
        <x:v>frequency_1_5</x:v>
      </x:c>
      <x:c r="R4" s="27" t="str">
        <x:v>time_loss_1_5</x:v>
      </x:c>
      <x:c r="S4" s="27" t="str">
        <x:v>consequence_1_5</x:v>
      </x:c>
      <x:c r="T4" s="27" t="str">
        <x:v>upload_willingness_1_5</x:v>
      </x:c>
      <x:c r="U4" s="27" t="str">
        <x:v>pay_willingness_1_5</x:v>
      </x:c>
      <x:c r="V4" s="27" t="str">
        <x:v>pilot_interest</x:v>
      </x:c>
      <x:c r="W4" s="27" t="str">
        <x:v>deidentified_notes</x:v>
      </x:c>
    </x:row>
    <x:row r="5">
      <x:c r="A5" s="27" t="str">
        <x:v>INT-01</x:v>
      </x:c>
      <x:c r="B5" s="27" t="str">
        <x:v>not_started</x:v>
      </x:c>
      <x:c r="C5" s="27" t="str"/>
      <x:c r="D5" s="27" t="str">
        <x:v>unknown</x:v>
      </x:c>
      <x:c r="E5" s="30"/>
      <x:c r="F5" s="27" t="str"/>
      <x:c r="G5" s="27" t="str"/>
      <x:c r="H5" s="27" t="n">
        <x:v>0</x:v>
      </x:c>
      <x:c r="I5" s="27"/>
      <x:c r="J5" s="27" t="str"/>
      <x:c r="K5" s="27" t="str"/>
      <x:c r="L5" s="27" t="str"/>
      <x:c r="M5" s="27" t="str"/>
      <x:c r="N5" s="27" t="str"/>
      <x:c r="O5" s="27" t="str"/>
      <x:c r="P5" s="27" t="str"/>
      <x:c r="Q5" s="27"/>
      <x:c r="R5" s="27"/>
      <x:c r="S5" s="27"/>
      <x:c r="T5" s="27"/>
      <x:c r="U5" s="27"/>
      <x:c r="V5" s="27" t="str">
        <x:v>not_asked</x:v>
      </x:c>
      <x:c r="W5" s="27" t="str"/>
    </x:row>
    <x:row r="6">
      <x:c r="A6" s="27" t="str">
        <x:v>INT-02</x:v>
      </x:c>
      <x:c r="B6" s="27" t="str">
        <x:v>not_started</x:v>
      </x:c>
      <x:c r="C6" s="27" t="str"/>
      <x:c r="D6" s="27" t="str">
        <x:v>unknown</x:v>
      </x:c>
      <x:c r="E6" s="30"/>
      <x:c r="F6" s="27" t="str"/>
      <x:c r="G6" s="27" t="str"/>
      <x:c r="H6" s="27" t="n">
        <x:v>0</x:v>
      </x:c>
      <x:c r="I6" s="27"/>
      <x:c r="J6" s="27" t="str"/>
      <x:c r="K6" s="27" t="str"/>
      <x:c r="L6" s="27" t="str"/>
      <x:c r="M6" s="27" t="str"/>
      <x:c r="N6" s="27" t="str"/>
      <x:c r="O6" s="27" t="str"/>
      <x:c r="P6" s="27" t="str"/>
      <x:c r="Q6" s="27"/>
      <x:c r="R6" s="27"/>
      <x:c r="S6" s="27"/>
      <x:c r="T6" s="27"/>
      <x:c r="U6" s="27"/>
      <x:c r="V6" s="27" t="str">
        <x:v>not_asked</x:v>
      </x:c>
      <x:c r="W6" s="27" t="str"/>
    </x:row>
    <x:row r="7">
      <x:c r="A7" s="27" t="str">
        <x:v>INT-03</x:v>
      </x:c>
      <x:c r="B7" s="27" t="str">
        <x:v>not_started</x:v>
      </x:c>
      <x:c r="C7" s="27" t="str"/>
      <x:c r="D7" s="27" t="str">
        <x:v>unknown</x:v>
      </x:c>
      <x:c r="E7" s="30"/>
      <x:c r="F7" s="27" t="str"/>
      <x:c r="G7" s="27" t="str"/>
      <x:c r="H7" s="27" t="n">
        <x:v>0</x:v>
      </x:c>
      <x:c r="I7" s="27"/>
      <x:c r="J7" s="27" t="str"/>
      <x:c r="K7" s="27" t="str"/>
      <x:c r="L7" s="27" t="str"/>
      <x:c r="M7" s="27" t="str"/>
      <x:c r="N7" s="27" t="str"/>
      <x:c r="O7" s="27" t="str"/>
      <x:c r="P7" s="27" t="str"/>
      <x:c r="Q7" s="27"/>
      <x:c r="R7" s="27"/>
      <x:c r="S7" s="27"/>
      <x:c r="T7" s="27"/>
      <x:c r="U7" s="27"/>
      <x:c r="V7" s="27" t="str">
        <x:v>not_asked</x:v>
      </x:c>
      <x:c r="W7" s="27" t="str"/>
    </x:row>
    <x:row r="8">
      <x:c r="A8" s="27" t="str">
        <x:v>INT-04</x:v>
      </x:c>
      <x:c r="B8" s="27" t="str">
        <x:v>not_started</x:v>
      </x:c>
      <x:c r="C8" s="27" t="str"/>
      <x:c r="D8" s="27" t="str">
        <x:v>unknown</x:v>
      </x:c>
      <x:c r="E8" s="30"/>
      <x:c r="F8" s="27" t="str"/>
      <x:c r="G8" s="27" t="str"/>
      <x:c r="H8" s="27" t="n">
        <x:v>0</x:v>
      </x:c>
      <x:c r="I8" s="27"/>
      <x:c r="J8" s="27" t="str"/>
      <x:c r="K8" s="27" t="str"/>
      <x:c r="L8" s="27" t="str"/>
      <x:c r="M8" s="27" t="str"/>
      <x:c r="N8" s="27" t="str"/>
      <x:c r="O8" s="27" t="str"/>
      <x:c r="P8" s="27" t="str"/>
      <x:c r="Q8" s="27"/>
      <x:c r="R8" s="27"/>
      <x:c r="S8" s="27"/>
      <x:c r="T8" s="27"/>
      <x:c r="U8" s="27"/>
      <x:c r="V8" s="27" t="str">
        <x:v>not_asked</x:v>
      </x:c>
      <x:c r="W8" s="27" t="str"/>
    </x:row>
    <x:row r="9">
      <x:c r="A9" s="27" t="str">
        <x:v>INT-05</x:v>
      </x:c>
      <x:c r="B9" s="27" t="str">
        <x:v>not_started</x:v>
      </x:c>
      <x:c r="C9" s="27" t="str"/>
      <x:c r="D9" s="27" t="str">
        <x:v>unknown</x:v>
      </x:c>
      <x:c r="E9" s="30"/>
      <x:c r="F9" s="27" t="str"/>
      <x:c r="G9" s="27" t="str"/>
      <x:c r="H9" s="27" t="n">
        <x:v>0</x:v>
      </x:c>
      <x:c r="I9" s="27"/>
      <x:c r="J9" s="27" t="str"/>
      <x:c r="K9" s="27" t="str"/>
      <x:c r="L9" s="27" t="str"/>
      <x:c r="M9" s="27" t="str"/>
      <x:c r="N9" s="27" t="str"/>
      <x:c r="O9" s="27" t="str"/>
      <x:c r="P9" s="27" t="str"/>
      <x:c r="Q9" s="27"/>
      <x:c r="R9" s="27"/>
      <x:c r="S9" s="27"/>
      <x:c r="T9" s="27"/>
      <x:c r="U9" s="27"/>
      <x:c r="V9" s="27" t="str">
        <x:v>not_asked</x:v>
      </x:c>
      <x:c r="W9" s="27" t="str"/>
    </x:row>
    <x:row r="10">
      <x:c r="A10" s="27" t="str">
        <x:v>INT-06</x:v>
      </x:c>
      <x:c r="B10" s="27" t="str">
        <x:v>not_started</x:v>
      </x:c>
      <x:c r="C10" s="27" t="str"/>
      <x:c r="D10" s="27" t="str">
        <x:v>unknown</x:v>
      </x:c>
      <x:c r="E10" s="30"/>
      <x:c r="F10" s="27" t="str"/>
      <x:c r="G10" s="27" t="str"/>
      <x:c r="H10" s="27" t="n">
        <x:v>0</x:v>
      </x:c>
      <x:c r="I10" s="27"/>
      <x:c r="J10" s="27" t="str"/>
      <x:c r="K10" s="27" t="str"/>
      <x:c r="L10" s="27" t="str"/>
      <x:c r="M10" s="27" t="str"/>
      <x:c r="N10" s="27" t="str"/>
      <x:c r="O10" s="27" t="str"/>
      <x:c r="P10" s="27" t="str"/>
      <x:c r="Q10" s="27"/>
      <x:c r="R10" s="27"/>
      <x:c r="S10" s="27"/>
      <x:c r="T10" s="27"/>
      <x:c r="U10" s="27"/>
      <x:c r="V10" s="27" t="str">
        <x:v>not_asked</x:v>
      </x:c>
      <x:c r="W10" s="27" t="str"/>
    </x:row>
    <x:row r="11">
      <x:c r="A11" s="27" t="str">
        <x:v>INT-07</x:v>
      </x:c>
      <x:c r="B11" s="27" t="str">
        <x:v>not_started</x:v>
      </x:c>
      <x:c r="C11" s="27" t="str"/>
      <x:c r="D11" s="27" t="str">
        <x:v>unknown</x:v>
      </x:c>
      <x:c r="E11" s="30"/>
      <x:c r="F11" s="27" t="str"/>
      <x:c r="G11" s="27" t="str"/>
      <x:c r="H11" s="27" t="n">
        <x:v>0</x:v>
      </x:c>
      <x:c r="I11" s="27"/>
      <x:c r="J11" s="27" t="str"/>
      <x:c r="K11" s="27" t="str"/>
      <x:c r="L11" s="27" t="str"/>
      <x:c r="M11" s="27" t="str"/>
      <x:c r="N11" s="27" t="str"/>
      <x:c r="O11" s="27" t="str"/>
      <x:c r="P11" s="27" t="str"/>
      <x:c r="Q11" s="27"/>
      <x:c r="R11" s="27"/>
      <x:c r="S11" s="27"/>
      <x:c r="T11" s="27"/>
      <x:c r="U11" s="27"/>
      <x:c r="V11" s="27" t="str">
        <x:v>not_asked</x:v>
      </x:c>
      <x:c r="W11" s="27" t="str"/>
    </x:row>
    <x:row r="12">
      <x:c r="A12" s="27" t="str">
        <x:v>INT-08</x:v>
      </x:c>
      <x:c r="B12" s="27" t="str">
        <x:v>not_started</x:v>
      </x:c>
      <x:c r="C12" s="27" t="str"/>
      <x:c r="D12" s="27" t="str">
        <x:v>unknown</x:v>
      </x:c>
      <x:c r="E12" s="30"/>
      <x:c r="F12" s="27" t="str"/>
      <x:c r="G12" s="27" t="str"/>
      <x:c r="H12" s="27" t="n">
        <x:v>0</x:v>
      </x:c>
      <x:c r="I12" s="27"/>
      <x:c r="J12" s="27" t="str"/>
      <x:c r="K12" s="27" t="str"/>
      <x:c r="L12" s="27" t="str"/>
      <x:c r="M12" s="27" t="str"/>
      <x:c r="N12" s="27" t="str"/>
      <x:c r="O12" s="27" t="str"/>
      <x:c r="P12" s="27" t="str"/>
      <x:c r="Q12" s="27"/>
      <x:c r="R12" s="27"/>
      <x:c r="S12" s="27"/>
      <x:c r="T12" s="27"/>
      <x:c r="U12" s="27"/>
      <x:c r="V12" s="27" t="str">
        <x:v>not_asked</x:v>
      </x:c>
      <x:c r="W12" s="27" t="str"/>
    </x:row>
    <x:row r="13">
      <x:c r="A13" s="27" t="str">
        <x:v>INT-09</x:v>
      </x:c>
      <x:c r="B13" s="27" t="str">
        <x:v>not_started</x:v>
      </x:c>
      <x:c r="C13" s="27" t="str"/>
      <x:c r="D13" s="27" t="str">
        <x:v>unknown</x:v>
      </x:c>
      <x:c r="E13" s="30"/>
      <x:c r="F13" s="27" t="str"/>
      <x:c r="G13" s="27" t="str"/>
      <x:c r="H13" s="27" t="n">
        <x:v>0</x:v>
      </x:c>
      <x:c r="I13" s="27"/>
      <x:c r="J13" s="27" t="str"/>
      <x:c r="K13" s="27" t="str"/>
      <x:c r="L13" s="27" t="str"/>
      <x:c r="M13" s="27" t="str"/>
      <x:c r="N13" s="27" t="str"/>
      <x:c r="O13" s="27" t="str"/>
      <x:c r="P13" s="27" t="str"/>
      <x:c r="Q13" s="27"/>
      <x:c r="R13" s="27"/>
      <x:c r="S13" s="27"/>
      <x:c r="T13" s="27"/>
      <x:c r="U13" s="27"/>
      <x:c r="V13" s="27" t="str">
        <x:v>not_asked</x:v>
      </x:c>
      <x:c r="W13" s="27" t="str"/>
    </x:row>
    <x:row r="14">
      <x:c r="A14" s="27" t="str">
        <x:v>INT-10</x:v>
      </x:c>
      <x:c r="B14" s="27" t="str">
        <x:v>not_started</x:v>
      </x:c>
      <x:c r="C14" s="27" t="str"/>
      <x:c r="D14" s="27" t="str">
        <x:v>unknown</x:v>
      </x:c>
      <x:c r="E14" s="30"/>
      <x:c r="F14" s="27" t="str"/>
      <x:c r="G14" s="27" t="str"/>
      <x:c r="H14" s="27" t="n">
        <x:v>0</x:v>
      </x:c>
      <x:c r="I14" s="27"/>
      <x:c r="J14" s="27" t="str"/>
      <x:c r="K14" s="27" t="str"/>
      <x:c r="L14" s="27" t="str"/>
      <x:c r="M14" s="27" t="str"/>
      <x:c r="N14" s="27" t="str"/>
      <x:c r="O14" s="27" t="str"/>
      <x:c r="P14" s="27" t="str"/>
      <x:c r="Q14" s="27"/>
      <x:c r="R14" s="27"/>
      <x:c r="S14" s="27"/>
      <x:c r="T14" s="27"/>
      <x:c r="U14" s="27"/>
      <x:c r="V14" s="27" t="str">
        <x:v>not_asked</x:v>
      </x:c>
      <x:c r="W14" s="27" t="str"/>
    </x:row>
    <x:row r="15">
      <x:c r="A15" s="27" t="str">
        <x:v>INT-11</x:v>
      </x:c>
      <x:c r="B15" s="27" t="str">
        <x:v>not_started</x:v>
      </x:c>
      <x:c r="C15" s="27" t="str"/>
      <x:c r="D15" s="27" t="str">
        <x:v>unknown</x:v>
      </x:c>
      <x:c r="E15" s="30"/>
      <x:c r="F15" s="27" t="str"/>
      <x:c r="G15" s="27" t="str"/>
      <x:c r="H15" s="27" t="n">
        <x:v>0</x:v>
      </x:c>
      <x:c r="I15" s="27"/>
      <x:c r="J15" s="27" t="str"/>
      <x:c r="K15" s="27" t="str"/>
      <x:c r="L15" s="27" t="str"/>
      <x:c r="M15" s="27" t="str"/>
      <x:c r="N15" s="27" t="str"/>
      <x:c r="O15" s="27" t="str"/>
      <x:c r="P15" s="27" t="str"/>
      <x:c r="Q15" s="27"/>
      <x:c r="R15" s="27"/>
      <x:c r="S15" s="27"/>
      <x:c r="T15" s="27"/>
      <x:c r="U15" s="27"/>
      <x:c r="V15" s="27" t="str">
        <x:v>not_asked</x:v>
      </x:c>
      <x:c r="W15" s="27" t="str"/>
    </x:row>
    <x:row r="16">
      <x:c r="A16" s="27" t="str">
        <x:v>INT-12</x:v>
      </x:c>
      <x:c r="B16" s="27" t="str">
        <x:v>not_started</x:v>
      </x:c>
      <x:c r="C16" s="27" t="str"/>
      <x:c r="D16" s="27" t="str">
        <x:v>unknown</x:v>
      </x:c>
      <x:c r="E16" s="30"/>
      <x:c r="F16" s="27" t="str"/>
      <x:c r="G16" s="27" t="str"/>
      <x:c r="H16" s="27" t="n">
        <x:v>0</x:v>
      </x:c>
      <x:c r="I16" s="27"/>
      <x:c r="J16" s="27" t="str"/>
      <x:c r="K16" s="27" t="str"/>
      <x:c r="L16" s="27" t="str"/>
      <x:c r="M16" s="27" t="str"/>
      <x:c r="N16" s="27" t="str"/>
      <x:c r="O16" s="27" t="str"/>
      <x:c r="P16" s="27" t="str"/>
      <x:c r="Q16" s="27"/>
      <x:c r="R16" s="27"/>
      <x:c r="S16" s="27"/>
      <x:c r="T16" s="27"/>
      <x:c r="U16" s="27"/>
      <x:c r="V16" s="27" t="str">
        <x:v>not_asked</x:v>
      </x:c>
      <x:c r="W16" s="27" t="str"/>
    </x:row>
    <x:row r="17">
      <x:c r="A17" s="27" t="str">
        <x:v>INT-13</x:v>
      </x:c>
      <x:c r="B17" s="27" t="str">
        <x:v>not_started</x:v>
      </x:c>
      <x:c r="C17" s="27" t="str"/>
      <x:c r="D17" s="27" t="str">
        <x:v>unknown</x:v>
      </x:c>
      <x:c r="E17" s="30"/>
      <x:c r="F17" s="27" t="str"/>
      <x:c r="G17" s="27" t="str"/>
      <x:c r="H17" s="27" t="n">
        <x:v>0</x:v>
      </x:c>
      <x:c r="I17" s="27"/>
      <x:c r="J17" s="27" t="str"/>
      <x:c r="K17" s="27" t="str"/>
      <x:c r="L17" s="27" t="str"/>
      <x:c r="M17" s="27" t="str"/>
      <x:c r="N17" s="27" t="str"/>
      <x:c r="O17" s="27" t="str"/>
      <x:c r="P17" s="27" t="str"/>
      <x:c r="Q17" s="27"/>
      <x:c r="R17" s="27"/>
      <x:c r="S17" s="27"/>
      <x:c r="T17" s="27"/>
      <x:c r="U17" s="27"/>
      <x:c r="V17" s="27" t="str">
        <x:v>not_asked</x:v>
      </x:c>
      <x:c r="W17" s="27" t="str"/>
    </x:row>
    <x:row r="18">
      <x:c r="A18" s="27" t="str">
        <x:v>INT-14</x:v>
      </x:c>
      <x:c r="B18" s="27" t="str">
        <x:v>not_started</x:v>
      </x:c>
      <x:c r="C18" s="27" t="str"/>
      <x:c r="D18" s="27" t="str">
        <x:v>unknown</x:v>
      </x:c>
      <x:c r="E18" s="30"/>
      <x:c r="F18" s="27" t="str"/>
      <x:c r="G18" s="27" t="str"/>
      <x:c r="H18" s="27" t="n">
        <x:v>0</x:v>
      </x:c>
      <x:c r="I18" s="27"/>
      <x:c r="J18" s="27" t="str"/>
      <x:c r="K18" s="27" t="str"/>
      <x:c r="L18" s="27" t="str"/>
      <x:c r="M18" s="27" t="str"/>
      <x:c r="N18" s="27" t="str"/>
      <x:c r="O18" s="27" t="str"/>
      <x:c r="P18" s="27" t="str"/>
      <x:c r="Q18" s="27"/>
      <x:c r="R18" s="27"/>
      <x:c r="S18" s="27"/>
      <x:c r="T18" s="27"/>
      <x:c r="U18" s="27"/>
      <x:c r="V18" s="27" t="str">
        <x:v>not_asked</x:v>
      </x:c>
      <x:c r="W18" s="27" t="str"/>
    </x:row>
    <x:row r="19">
      <x:c r="A19" s="27" t="str">
        <x:v>INT-15</x:v>
      </x:c>
      <x:c r="B19" s="27" t="str">
        <x:v>not_started</x:v>
      </x:c>
      <x:c r="C19" s="27" t="str"/>
      <x:c r="D19" s="27" t="str">
        <x:v>unknown</x:v>
      </x:c>
      <x:c r="E19" s="30"/>
      <x:c r="F19" s="27" t="str"/>
      <x:c r="G19" s="27" t="str"/>
      <x:c r="H19" s="27" t="n">
        <x:v>0</x:v>
      </x:c>
      <x:c r="I19" s="27"/>
      <x:c r="J19" s="27" t="str"/>
      <x:c r="K19" s="27" t="str"/>
      <x:c r="L19" s="27" t="str"/>
      <x:c r="M19" s="27" t="str"/>
      <x:c r="N19" s="27" t="str"/>
      <x:c r="O19" s="27" t="str"/>
      <x:c r="P19" s="27" t="str"/>
      <x:c r="Q19" s="27"/>
      <x:c r="R19" s="27"/>
      <x:c r="S19" s="27"/>
      <x:c r="T19" s="27"/>
      <x:c r="U19" s="27"/>
      <x:c r="V19" s="27" t="str">
        <x:v>not_asked</x:v>
      </x:c>
      <x:c r="W19" s="27" t="str"/>
    </x:row>
    <x:row r="20">
      <x:c r="A20" s="27" t="str">
        <x:v>INT-16</x:v>
      </x:c>
      <x:c r="B20" s="27" t="str">
        <x:v>not_started</x:v>
      </x:c>
      <x:c r="C20" s="27" t="str"/>
      <x:c r="D20" s="27" t="str">
        <x:v>unknown</x:v>
      </x:c>
      <x:c r="E20" s="30"/>
      <x:c r="F20" s="27" t="str"/>
      <x:c r="G20" s="27" t="str"/>
      <x:c r="H20" s="27" t="n">
        <x:v>0</x:v>
      </x:c>
      <x:c r="I20" s="27"/>
      <x:c r="J20" s="27" t="str"/>
      <x:c r="K20" s="27" t="str"/>
      <x:c r="L20" s="27" t="str"/>
      <x:c r="M20" s="27" t="str"/>
      <x:c r="N20" s="27" t="str"/>
      <x:c r="O20" s="27" t="str"/>
      <x:c r="P20" s="27" t="str"/>
      <x:c r="Q20" s="27"/>
      <x:c r="R20" s="27"/>
      <x:c r="S20" s="27"/>
      <x:c r="T20" s="27"/>
      <x:c r="U20" s="27"/>
      <x:c r="V20" s="27" t="str">
        <x:v>not_asked</x:v>
      </x:c>
      <x:c r="W20" s="27" t="str"/>
    </x:row>
    <x:row r="21">
      <x:c r="A21" s="27" t="str">
        <x:v>INT-17</x:v>
      </x:c>
      <x:c r="B21" s="27" t="str">
        <x:v>not_started</x:v>
      </x:c>
      <x:c r="C21" s="27" t="str"/>
      <x:c r="D21" s="27" t="str">
        <x:v>unknown</x:v>
      </x:c>
      <x:c r="E21" s="30"/>
      <x:c r="F21" s="27" t="str"/>
      <x:c r="G21" s="27" t="str"/>
      <x:c r="H21" s="27" t="n">
        <x:v>0</x:v>
      </x:c>
      <x:c r="I21" s="27"/>
      <x:c r="J21" s="27" t="str"/>
      <x:c r="K21" s="27" t="str"/>
      <x:c r="L21" s="27" t="str"/>
      <x:c r="M21" s="27" t="str"/>
      <x:c r="N21" s="27" t="str"/>
      <x:c r="O21" s="27" t="str"/>
      <x:c r="P21" s="27" t="str"/>
      <x:c r="Q21" s="27"/>
      <x:c r="R21" s="27"/>
      <x:c r="S21" s="27"/>
      <x:c r="T21" s="27"/>
      <x:c r="U21" s="27"/>
      <x:c r="V21" s="27" t="str">
        <x:v>not_asked</x:v>
      </x:c>
      <x:c r="W21" s="27" t="str"/>
    </x:row>
    <x:row r="22">
      <x:c r="A22" s="27" t="str">
        <x:v>INT-18</x:v>
      </x:c>
      <x:c r="B22" s="27" t="str">
        <x:v>not_started</x:v>
      </x:c>
      <x:c r="C22" s="27" t="str"/>
      <x:c r="D22" s="27" t="str">
        <x:v>unknown</x:v>
      </x:c>
      <x:c r="E22" s="30"/>
      <x:c r="F22" s="27" t="str"/>
      <x:c r="G22" s="27" t="str"/>
      <x:c r="H22" s="27" t="n">
        <x:v>0</x:v>
      </x:c>
      <x:c r="I22" s="27"/>
      <x:c r="J22" s="27" t="str"/>
      <x:c r="K22" s="27" t="str"/>
      <x:c r="L22" s="27" t="str"/>
      <x:c r="M22" s="27" t="str"/>
      <x:c r="N22" s="27" t="str"/>
      <x:c r="O22" s="27" t="str"/>
      <x:c r="P22" s="27" t="str"/>
      <x:c r="Q22" s="27"/>
      <x:c r="R22" s="27"/>
      <x:c r="S22" s="27"/>
      <x:c r="T22" s="27"/>
      <x:c r="U22" s="27"/>
      <x:c r="V22" s="27" t="str">
        <x:v>not_asked</x:v>
      </x:c>
      <x:c r="W22" s="27" t="str"/>
    </x:row>
    <x:row r="23">
      <x:c r="A23" s="27" t="str">
        <x:v>INT-19</x:v>
      </x:c>
      <x:c r="B23" s="27" t="str">
        <x:v>not_started</x:v>
      </x:c>
      <x:c r="C23" s="27" t="str"/>
      <x:c r="D23" s="27" t="str">
        <x:v>unknown</x:v>
      </x:c>
      <x:c r="E23" s="30"/>
      <x:c r="F23" s="27" t="str"/>
      <x:c r="G23" s="27" t="str"/>
      <x:c r="H23" s="27" t="n">
        <x:v>0</x:v>
      </x:c>
      <x:c r="I23" s="27"/>
      <x:c r="J23" s="27" t="str"/>
      <x:c r="K23" s="27" t="str"/>
      <x:c r="L23" s="27" t="str"/>
      <x:c r="M23" s="27" t="str"/>
      <x:c r="N23" s="27" t="str"/>
      <x:c r="O23" s="27" t="str"/>
      <x:c r="P23" s="27" t="str"/>
      <x:c r="Q23" s="27"/>
      <x:c r="R23" s="27"/>
      <x:c r="S23" s="27"/>
      <x:c r="T23" s="27"/>
      <x:c r="U23" s="27"/>
      <x:c r="V23" s="27" t="str">
        <x:v>not_asked</x:v>
      </x:c>
      <x:c r="W23" s="27" t="str"/>
    </x:row>
    <x:row r="24">
      <x:c r="A24" s="27" t="str">
        <x:v>INT-20</x:v>
      </x:c>
      <x:c r="B24" s="27" t="str">
        <x:v>not_started</x:v>
      </x:c>
      <x:c r="C24" s="27" t="str"/>
      <x:c r="D24" s="27" t="str">
        <x:v>unknown</x:v>
      </x:c>
      <x:c r="E24" s="30"/>
      <x:c r="F24" s="27" t="str"/>
      <x:c r="G24" s="27" t="str"/>
      <x:c r="H24" s="27" t="n">
        <x:v>0</x:v>
      </x:c>
      <x:c r="I24" s="27"/>
      <x:c r="J24" s="27" t="str"/>
      <x:c r="K24" s="27" t="str"/>
      <x:c r="L24" s="27" t="str"/>
      <x:c r="M24" s="27" t="str"/>
      <x:c r="N24" s="27" t="str"/>
      <x:c r="O24" s="27" t="str"/>
      <x:c r="P24" s="27" t="str"/>
      <x:c r="Q24" s="27"/>
      <x:c r="R24" s="27"/>
      <x:c r="S24" s="27"/>
      <x:c r="T24" s="27"/>
      <x:c r="U24" s="27"/>
      <x:c r="V24" s="27" t="str">
        <x:v>not_asked</x:v>
      </x:c>
      <x:c r="W24" s="27" t="str"/>
    </x:row>
  </x:sheetData>
  <x:mergeCells>
    <x:mergeCell ref="A1:W1"/>
    <x:mergeCell ref="A2:W2"/>
  </x:mergeCells>
  <x:conditionalFormatting sqref="B5:B24">
    <x:cfRule type="containsText" dxfId="5" priority="1" operator="containsText" text="approved"/>
    <x:cfRule type="containsText" dxfId="6" priority="2" operator="containsText" text="completed"/>
    <x:cfRule type="containsText" dxfId="7" priority="3" operator="containsText" text="validated"/>
    <x:cfRule type="containsText" dxfId="8" priority="4" operator="containsText" text="pending"/>
    <x:cfRule type="containsText" dxfId="9" priority="5" operator="containsText" text="blocked"/>
  </x:conditionalFormatting>
  <x:dataValidations count="10">
    <x:dataValidation type="list" sqref="B5:B24">
      <x:formula1>"not_started,scheduled,completed,excluded"</x:formula1>
    </x:dataValidation>
    <x:dataValidation type="list" sqref="D5:D24">
      <x:formula1>"yes,no,unknown"</x:formula1>
    </x:dataValidation>
    <x:dataValidation type="whole" operator="between" sqref="H5:H24">
      <x:formula1>0</x:formula1>
      <x:formula2>20</x:formula2>
    </x:dataValidation>
    <x:dataValidation type="whole" operator="between" sqref="I5:I24">
      <x:formula1>0</x:formula1>
      <x:formula2>1000</x:formula2>
    </x:dataValidation>
    <x:dataValidation type="whole" operator="between" sqref="Q5:Q24">
      <x:formula1>1</x:formula1>
      <x:formula2>5</x:formula2>
    </x:dataValidation>
    <x:dataValidation type="whole" operator="between" sqref="R5:R24">
      <x:formula1>1</x:formula1>
      <x:formula2>5</x:formula2>
    </x:dataValidation>
    <x:dataValidation type="whole" operator="between" sqref="S5:S24">
      <x:formula1>1</x:formula1>
      <x:formula2>5</x:formula2>
    </x:dataValidation>
    <x:dataValidation type="whole" operator="between" sqref="T5:T24">
      <x:formula1>1</x:formula1>
      <x:formula2>5</x:formula2>
    </x:dataValidation>
    <x:dataValidation type="whole" operator="between" sqref="U5:U24">
      <x:formula1>1</x:formula1>
      <x:formula2>5</x:formula2>
    </x:dataValidation>
    <x:dataValidation type="list" sqref="V5:V24">
      <x:formula1>"not_asked,interested,confirmed,declined"</x:formula1>
    </x:dataValidation>
  </x:dataValidations>
  <x:pageMargins left="0.7" right="0.7" top="0.75" bottom="0.75" header="0.3" footer="0.3"/>
  <x:tableParts count="1">
    <x:tablePart xmlns:r="http://schemas.openxmlformats.org/officeDocument/2006/relationships" r:id="Ra294a32490794ae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15" hidden="0" customWidth="1"/>
    <x:col min="3" max="3" width="12" hidden="0" customWidth="1"/>
    <x:col min="4" max="4" width="12" hidden="0" customWidth="1"/>
    <x:col min="5" max="5" width="13" hidden="0" customWidth="1"/>
    <x:col min="6" max="6" width="18" hidden="0" customWidth="1"/>
    <x:col min="7" max="7" width="16" hidden="0" customWidth="1"/>
    <x:col min="8" max="8" width="15" hidden="0" customWidth="1"/>
    <x:col min="9" max="9" width="9" hidden="0" customWidth="1"/>
    <x:col min="10" max="10" width="22" hidden="0" customWidth="1"/>
    <x:col min="11" max="11" width="36" hidden="0" customWidth="1"/>
  </x:cols>
  <x:sheetData>
    <x:row r="1" ht="32" customHeight="1">
      <x:c r="A1" s="25" t="str">
        <x:v>Day 2 Job Ranking</x:v>
      </x:c>
      <x:c r="B1" s="25"/>
      <x:c r="C1" s="25"/>
      <x:c r="D1" s="25"/>
      <x:c r="E1" s="25"/>
      <x:c r="F1" s="25"/>
      <x:c r="G1" s="25"/>
      <x:c r="H1" s="25"/>
      <x:c r="I1" s="25"/>
      <x:c r="J1" s="25"/>
      <x:c r="K1" s="25"/>
    </x:row>
    <x:row r="2" ht="30" customHeight="1">
      <x:c r="A2" s="26" t="str">
        <x:v>Scores update from completed eligible interview rows. A problem is repeated only at the configured independent-teacher threshold.</x:v>
      </x:c>
      <x:c r="B2" s="26"/>
      <x:c r="C2" s="26"/>
      <x:c r="D2" s="26"/>
      <x:c r="E2" s="26"/>
      <x:c r="F2" s="26"/>
      <x:c r="G2" s="26"/>
      <x:c r="H2" s="26"/>
      <x:c r="I2" s="26"/>
      <x:c r="J2" s="26"/>
      <x:c r="K2" s="26"/>
    </x:row>
    <x:row r="3">
      <x:c r="A3" s="27"/>
      <x:c r="B3" s="27"/>
      <x:c r="C3" s="27"/>
      <x:c r="D3" s="27"/>
      <x:c r="E3" s="27"/>
      <x:c r="F3" s="27"/>
      <x:c r="G3" s="27"/>
      <x:c r="H3" s="27"/>
      <x:c r="I3" s="27"/>
      <x:c r="J3" s="27"/>
      <x:c r="K3" s="27"/>
    </x:row>
    <x:row r="4">
      <x:c r="A4" s="27" t="str">
        <x:v>problem_code</x:v>
      </x:c>
      <x:c r="B4" s="27" t="str">
        <x:v>interview_count</x:v>
      </x:c>
      <x:c r="C4" s="27" t="str">
        <x:v>frequency</x:v>
      </x:c>
      <x:c r="D4" s="27" t="str">
        <x:v>time_loss</x:v>
      </x:c>
      <x:c r="E4" s="27" t="str">
        <x:v>consequence</x:v>
      </x:c>
      <x:c r="F4" s="27" t="str">
        <x:v>upload_willingness</x:v>
      </x:c>
      <x:c r="G4" s="27" t="str">
        <x:v>pay_willingness</x:v>
      </x:c>
      <x:c r="H4" s="27" t="str">
        <x:v>weighted_score</x:v>
      </x:c>
      <x:c r="I4" s="27" t="str">
        <x:v>rank</x:v>
      </x:c>
      <x:c r="J4" s="27" t="str">
        <x:v>evidence_status</x:v>
      </x:c>
      <x:c r="K4" s="27" t="str">
        <x:v>notes</x:v>
      </x:c>
    </x:row>
    <x:row r="5">
      <x:c r="A5" s="27" t="str">
        <x:v>JH-01</x:v>
      </x:c>
      <x:c r="B5" s="27" t="n">
        <x:f>COUNTIFS('Interviews'!$J$5:$J$24,A5,'Interviews'!$B$5:$B$24,"completed",'Interviews'!$D$5:$D$24,"yes")</x:f>
        <x:v>0</x:v>
      </x:c>
      <x:c r="C5" s="31" t="n">
        <x:f>IFERROR(AVERAGEIFS('Interviews'!$Q$5:$Q$24,'Interviews'!$J$5:$J$24,A5,'Interviews'!$B$5:$B$24,"completed",'Interviews'!$D$5:$D$24,"yes"),0)</x:f>
        <x:v>0</x:v>
      </x:c>
      <x:c r="D5" s="31" t="n">
        <x:f>IFERROR(AVERAGEIFS('Interviews'!$R$5:$R$24,'Interviews'!$J$5:$J$24,A5,'Interviews'!$B$5:$B$24,"completed",'Interviews'!$D$5:$D$24,"yes"),0)</x:f>
        <x:v>0</x:v>
      </x:c>
      <x:c r="E5" s="31" t="n">
        <x:f>IFERROR(AVERAGEIFS('Interviews'!$S$5:$S$24,'Interviews'!$J$5:$J$24,A5,'Interviews'!$B$5:$B$24,"completed",'Interviews'!$D$5:$D$24,"yes"),0)</x:f>
        <x:v>0</x:v>
      </x:c>
      <x:c r="F5" s="31" t="n">
        <x:f>IFERROR(AVERAGEIFS('Interviews'!$T$5:$T$24,'Interviews'!$J$5:$J$24,A5,'Interviews'!$B$5:$B$24,"completed",'Interviews'!$D$5:$D$24,"yes"),0)</x:f>
        <x:v>0</x:v>
      </x:c>
      <x:c r="G5" s="31" t="n">
        <x:f>IFERROR(AVERAGEIFS('Interviews'!$U$5:$U$24,'Interviews'!$J$5:$J$24,A5,'Interviews'!$B$5:$B$24,"completed",'Interviews'!$D$5:$D$24,"yes"),0)</x:f>
        <x:v>0</x:v>
      </x:c>
      <x:c r="H5" s="31" t="n">
        <x:f>IF(B5=0,0,(C5*'Scoring'!$B$5+D5*'Scoring'!$B$6+E5*'Scoring'!$B$7+F5*'Scoring'!$B$8+G5*'Scoring'!$B$9)*(MIN(B5,'Scoring'!$B$11)/'Scoring'!$B$11))</x:f>
        <x:v>0</x:v>
      </x:c>
      <x:c r="I5" s="27" t="str">
        <x:f>IF(H5=0,"",RANK(H5,$H$5:$H$20,0))</x:f>
      </x:c>
      <x:c r="J5" s="27" t="str">
        <x:f>IF(B5&gt;='Scoring'!$B$11,IF(I5&lt;=3,"top_3_candidate","repeated"),"insufficient_evidence")</x:f>
        <x:v>insufficient_evidence</x:v>
      </x:c>
      <x:c r="K5" s="27" t="str"/>
    </x:row>
    <x:row r="6">
      <x:c r="A6" s="27" t="str">
        <x:v>JH-02</x:v>
      </x:c>
      <x:c r="B6" s="27" t="n">
        <x:f>COUNTIFS('Interviews'!$J$5:$J$24,A6,'Interviews'!$B$5:$B$24,"completed",'Interviews'!$D$5:$D$24,"yes")</x:f>
        <x:v>0</x:v>
      </x:c>
      <x:c r="C6" s="31" t="n">
        <x:f>IFERROR(AVERAGEIFS('Interviews'!$Q$5:$Q$24,'Interviews'!$J$5:$J$24,A6,'Interviews'!$B$5:$B$24,"completed",'Interviews'!$D$5:$D$24,"yes"),0)</x:f>
        <x:v>0</x:v>
      </x:c>
      <x:c r="D6" s="31" t="n">
        <x:f>IFERROR(AVERAGEIFS('Interviews'!$R$5:$R$24,'Interviews'!$J$5:$J$24,A6,'Interviews'!$B$5:$B$24,"completed",'Interviews'!$D$5:$D$24,"yes"),0)</x:f>
        <x:v>0</x:v>
      </x:c>
      <x:c r="E6" s="31" t="n">
        <x:f>IFERROR(AVERAGEIFS('Interviews'!$S$5:$S$24,'Interviews'!$J$5:$J$24,A6,'Interviews'!$B$5:$B$24,"completed",'Interviews'!$D$5:$D$24,"yes"),0)</x:f>
        <x:v>0</x:v>
      </x:c>
      <x:c r="F6" s="31" t="n">
        <x:f>IFERROR(AVERAGEIFS('Interviews'!$T$5:$T$24,'Interviews'!$J$5:$J$24,A6,'Interviews'!$B$5:$B$24,"completed",'Interviews'!$D$5:$D$24,"yes"),0)</x:f>
        <x:v>0</x:v>
      </x:c>
      <x:c r="G6" s="31" t="n">
        <x:f>IFERROR(AVERAGEIFS('Interviews'!$U$5:$U$24,'Interviews'!$J$5:$J$24,A6,'Interviews'!$B$5:$B$24,"completed",'Interviews'!$D$5:$D$24,"yes"),0)</x:f>
        <x:v>0</x:v>
      </x:c>
      <x:c r="H6" s="31" t="n">
        <x:f>IF(B6=0,0,(C6*'Scoring'!$B$5+D6*'Scoring'!$B$6+E6*'Scoring'!$B$7+F6*'Scoring'!$B$8+G6*'Scoring'!$B$9)*(MIN(B6,'Scoring'!$B$11)/'Scoring'!$B$11))</x:f>
        <x:v>0</x:v>
      </x:c>
      <x:c r="I6" s="27" t="str">
        <x:f>IF(H6=0,"",RANK(H6,$H$5:$H$20,0))</x:f>
      </x:c>
      <x:c r="J6" s="27" t="str">
        <x:f>IF(B6&gt;='Scoring'!$B$11,IF(I6&lt;=3,"top_3_candidate","repeated"),"insufficient_evidence")</x:f>
        <x:v>insufficient_evidence</x:v>
      </x:c>
      <x:c r="K6" s="27" t="str"/>
    </x:row>
    <x:row r="7">
      <x:c r="A7" s="27" t="str">
        <x:v>JH-03</x:v>
      </x:c>
      <x:c r="B7" s="27" t="n">
        <x:f>COUNTIFS('Interviews'!$J$5:$J$24,A7,'Interviews'!$B$5:$B$24,"completed",'Interviews'!$D$5:$D$24,"yes")</x:f>
        <x:v>0</x:v>
      </x:c>
      <x:c r="C7" s="31" t="n">
        <x:f>IFERROR(AVERAGEIFS('Interviews'!$Q$5:$Q$24,'Interviews'!$J$5:$J$24,A7,'Interviews'!$B$5:$B$24,"completed",'Interviews'!$D$5:$D$24,"yes"),0)</x:f>
        <x:v>0</x:v>
      </x:c>
      <x:c r="D7" s="31" t="n">
        <x:f>IFERROR(AVERAGEIFS('Interviews'!$R$5:$R$24,'Interviews'!$J$5:$J$24,A7,'Interviews'!$B$5:$B$24,"completed",'Interviews'!$D$5:$D$24,"yes"),0)</x:f>
        <x:v>0</x:v>
      </x:c>
      <x:c r="E7" s="31" t="n">
        <x:f>IFERROR(AVERAGEIFS('Interviews'!$S$5:$S$24,'Interviews'!$J$5:$J$24,A7,'Interviews'!$B$5:$B$24,"completed",'Interviews'!$D$5:$D$24,"yes"),0)</x:f>
        <x:v>0</x:v>
      </x:c>
      <x:c r="F7" s="31" t="n">
        <x:f>IFERROR(AVERAGEIFS('Interviews'!$T$5:$T$24,'Interviews'!$J$5:$J$24,A7,'Interviews'!$B$5:$B$24,"completed",'Interviews'!$D$5:$D$24,"yes"),0)</x:f>
        <x:v>0</x:v>
      </x:c>
      <x:c r="G7" s="31" t="n">
        <x:f>IFERROR(AVERAGEIFS('Interviews'!$U$5:$U$24,'Interviews'!$J$5:$J$24,A7,'Interviews'!$B$5:$B$24,"completed",'Interviews'!$D$5:$D$24,"yes"),0)</x:f>
        <x:v>0</x:v>
      </x:c>
      <x:c r="H7" s="31" t="n">
        <x:f>IF(B7=0,0,(C7*'Scoring'!$B$5+D7*'Scoring'!$B$6+E7*'Scoring'!$B$7+F7*'Scoring'!$B$8+G7*'Scoring'!$B$9)*(MIN(B7,'Scoring'!$B$11)/'Scoring'!$B$11))</x:f>
        <x:v>0</x:v>
      </x:c>
      <x:c r="I7" s="27" t="str">
        <x:f>IF(H7=0,"",RANK(H7,$H$5:$H$20,0))</x:f>
      </x:c>
      <x:c r="J7" s="27" t="str">
        <x:f>IF(B7&gt;='Scoring'!$B$11,IF(I7&lt;=3,"top_3_candidate","repeated"),"insufficient_evidence")</x:f>
        <x:v>insufficient_evidence</x:v>
      </x:c>
      <x:c r="K7" s="27" t="str"/>
    </x:row>
    <x:row r="8">
      <x:c r="A8" s="27" t="str">
        <x:v>JH-04</x:v>
      </x:c>
      <x:c r="B8" s="27" t="n">
        <x:f>COUNTIFS('Interviews'!$J$5:$J$24,A8,'Interviews'!$B$5:$B$24,"completed",'Interviews'!$D$5:$D$24,"yes")</x:f>
        <x:v>0</x:v>
      </x:c>
      <x:c r="C8" s="31" t="n">
        <x:f>IFERROR(AVERAGEIFS('Interviews'!$Q$5:$Q$24,'Interviews'!$J$5:$J$24,A8,'Interviews'!$B$5:$B$24,"completed",'Interviews'!$D$5:$D$24,"yes"),0)</x:f>
        <x:v>0</x:v>
      </x:c>
      <x:c r="D8" s="31" t="n">
        <x:f>IFERROR(AVERAGEIFS('Interviews'!$R$5:$R$24,'Interviews'!$J$5:$J$24,A8,'Interviews'!$B$5:$B$24,"completed",'Interviews'!$D$5:$D$24,"yes"),0)</x:f>
        <x:v>0</x:v>
      </x:c>
      <x:c r="E8" s="31" t="n">
        <x:f>IFERROR(AVERAGEIFS('Interviews'!$S$5:$S$24,'Interviews'!$J$5:$J$24,A8,'Interviews'!$B$5:$B$24,"completed",'Interviews'!$D$5:$D$24,"yes"),0)</x:f>
        <x:v>0</x:v>
      </x:c>
      <x:c r="F8" s="31" t="n">
        <x:f>IFERROR(AVERAGEIFS('Interviews'!$T$5:$T$24,'Interviews'!$J$5:$J$24,A8,'Interviews'!$B$5:$B$24,"completed",'Interviews'!$D$5:$D$24,"yes"),0)</x:f>
        <x:v>0</x:v>
      </x:c>
      <x:c r="G8" s="31" t="n">
        <x:f>IFERROR(AVERAGEIFS('Interviews'!$U$5:$U$24,'Interviews'!$J$5:$J$24,A8,'Interviews'!$B$5:$B$24,"completed",'Interviews'!$D$5:$D$24,"yes"),0)</x:f>
        <x:v>0</x:v>
      </x:c>
      <x:c r="H8" s="31" t="n">
        <x:f>IF(B8=0,0,(C8*'Scoring'!$B$5+D8*'Scoring'!$B$6+E8*'Scoring'!$B$7+F8*'Scoring'!$B$8+G8*'Scoring'!$B$9)*(MIN(B8,'Scoring'!$B$11)/'Scoring'!$B$11))</x:f>
        <x:v>0</x:v>
      </x:c>
      <x:c r="I8" s="27" t="str">
        <x:f>IF(H8=0,"",RANK(H8,$H$5:$H$20,0))</x:f>
      </x:c>
      <x:c r="J8" s="27" t="str">
        <x:f>IF(B8&gt;='Scoring'!$B$11,IF(I8&lt;=3,"top_3_candidate","repeated"),"insufficient_evidence")</x:f>
        <x:v>insufficient_evidence</x:v>
      </x:c>
      <x:c r="K8" s="27" t="str"/>
    </x:row>
    <x:row r="9">
      <x:c r="A9" s="27" t="str">
        <x:v>JH-05</x:v>
      </x:c>
      <x:c r="B9" s="27" t="n">
        <x:f>COUNTIFS('Interviews'!$J$5:$J$24,A9,'Interviews'!$B$5:$B$24,"completed",'Interviews'!$D$5:$D$24,"yes")</x:f>
        <x:v>0</x:v>
      </x:c>
      <x:c r="C9" s="31" t="n">
        <x:f>IFERROR(AVERAGEIFS('Interviews'!$Q$5:$Q$24,'Interviews'!$J$5:$J$24,A9,'Interviews'!$B$5:$B$24,"completed",'Interviews'!$D$5:$D$24,"yes"),0)</x:f>
        <x:v>0</x:v>
      </x:c>
      <x:c r="D9" s="31" t="n">
        <x:f>IFERROR(AVERAGEIFS('Interviews'!$R$5:$R$24,'Interviews'!$J$5:$J$24,A9,'Interviews'!$B$5:$B$24,"completed",'Interviews'!$D$5:$D$24,"yes"),0)</x:f>
        <x:v>0</x:v>
      </x:c>
      <x:c r="E9" s="31" t="n">
        <x:f>IFERROR(AVERAGEIFS('Interviews'!$S$5:$S$24,'Interviews'!$J$5:$J$24,A9,'Interviews'!$B$5:$B$24,"completed",'Interviews'!$D$5:$D$24,"yes"),0)</x:f>
        <x:v>0</x:v>
      </x:c>
      <x:c r="F9" s="31" t="n">
        <x:f>IFERROR(AVERAGEIFS('Interviews'!$T$5:$T$24,'Interviews'!$J$5:$J$24,A9,'Interviews'!$B$5:$B$24,"completed",'Interviews'!$D$5:$D$24,"yes"),0)</x:f>
        <x:v>0</x:v>
      </x:c>
      <x:c r="G9" s="31" t="n">
        <x:f>IFERROR(AVERAGEIFS('Interviews'!$U$5:$U$24,'Interviews'!$J$5:$J$24,A9,'Interviews'!$B$5:$B$24,"completed",'Interviews'!$D$5:$D$24,"yes"),0)</x:f>
        <x:v>0</x:v>
      </x:c>
      <x:c r="H9" s="31" t="n">
        <x:f>IF(B9=0,0,(C9*'Scoring'!$B$5+D9*'Scoring'!$B$6+E9*'Scoring'!$B$7+F9*'Scoring'!$B$8+G9*'Scoring'!$B$9)*(MIN(B9,'Scoring'!$B$11)/'Scoring'!$B$11))</x:f>
        <x:v>0</x:v>
      </x:c>
      <x:c r="I9" s="27" t="str">
        <x:f>IF(H9=0,"",RANK(H9,$H$5:$H$20,0))</x:f>
      </x:c>
      <x:c r="J9" s="27" t="str">
        <x:f>IF(B9&gt;='Scoring'!$B$11,IF(I9&lt;=3,"top_3_candidate","repeated"),"insufficient_evidence")</x:f>
        <x:v>insufficient_evidence</x:v>
      </x:c>
      <x:c r="K9" s="27" t="str"/>
    </x:row>
    <x:row r="10">
      <x:c r="A10" s="27" t="str">
        <x:v>JH-06</x:v>
      </x:c>
      <x:c r="B10" s="27" t="n">
        <x:f>COUNTIFS('Interviews'!$J$5:$J$24,A10,'Interviews'!$B$5:$B$24,"completed",'Interviews'!$D$5:$D$24,"yes")</x:f>
        <x:v>0</x:v>
      </x:c>
      <x:c r="C10" s="31" t="n">
        <x:f>IFERROR(AVERAGEIFS('Interviews'!$Q$5:$Q$24,'Interviews'!$J$5:$J$24,A10,'Interviews'!$B$5:$B$24,"completed",'Interviews'!$D$5:$D$24,"yes"),0)</x:f>
        <x:v>0</x:v>
      </x:c>
      <x:c r="D10" s="31" t="n">
        <x:f>IFERROR(AVERAGEIFS('Interviews'!$R$5:$R$24,'Interviews'!$J$5:$J$24,A10,'Interviews'!$B$5:$B$24,"completed",'Interviews'!$D$5:$D$24,"yes"),0)</x:f>
        <x:v>0</x:v>
      </x:c>
      <x:c r="E10" s="31" t="n">
        <x:f>IFERROR(AVERAGEIFS('Interviews'!$S$5:$S$24,'Interviews'!$J$5:$J$24,A10,'Interviews'!$B$5:$B$24,"completed",'Interviews'!$D$5:$D$24,"yes"),0)</x:f>
        <x:v>0</x:v>
      </x:c>
      <x:c r="F10" s="31" t="n">
        <x:f>IFERROR(AVERAGEIFS('Interviews'!$T$5:$T$24,'Interviews'!$J$5:$J$24,A10,'Interviews'!$B$5:$B$24,"completed",'Interviews'!$D$5:$D$24,"yes"),0)</x:f>
        <x:v>0</x:v>
      </x:c>
      <x:c r="G10" s="31" t="n">
        <x:f>IFERROR(AVERAGEIFS('Interviews'!$U$5:$U$24,'Interviews'!$J$5:$J$24,A10,'Interviews'!$B$5:$B$24,"completed",'Interviews'!$D$5:$D$24,"yes"),0)</x:f>
        <x:v>0</x:v>
      </x:c>
      <x:c r="H10" s="31" t="n">
        <x:f>IF(B10=0,0,(C10*'Scoring'!$B$5+D10*'Scoring'!$B$6+E10*'Scoring'!$B$7+F10*'Scoring'!$B$8+G10*'Scoring'!$B$9)*(MIN(B10,'Scoring'!$B$11)/'Scoring'!$B$11))</x:f>
        <x:v>0</x:v>
      </x:c>
      <x:c r="I10" s="27" t="str">
        <x:f>IF(H10=0,"",RANK(H10,$H$5:$H$20,0))</x:f>
      </x:c>
      <x:c r="J10" s="27" t="str">
        <x:f>IF(B10&gt;='Scoring'!$B$11,IF(I10&lt;=3,"top_3_candidate","repeated"),"insufficient_evidence")</x:f>
        <x:v>insufficient_evidence</x:v>
      </x:c>
      <x:c r="K10" s="27" t="str"/>
    </x:row>
    <x:row r="11">
      <x:c r="A11" s="27" t="str">
        <x:v>JH-07</x:v>
      </x:c>
      <x:c r="B11" s="27" t="n">
        <x:f>COUNTIFS('Interviews'!$J$5:$J$24,A11,'Interviews'!$B$5:$B$24,"completed",'Interviews'!$D$5:$D$24,"yes")</x:f>
        <x:v>0</x:v>
      </x:c>
      <x:c r="C11" s="31" t="n">
        <x:f>IFERROR(AVERAGEIFS('Interviews'!$Q$5:$Q$24,'Interviews'!$J$5:$J$24,A11,'Interviews'!$B$5:$B$24,"completed",'Interviews'!$D$5:$D$24,"yes"),0)</x:f>
        <x:v>0</x:v>
      </x:c>
      <x:c r="D11" s="31" t="n">
        <x:f>IFERROR(AVERAGEIFS('Interviews'!$R$5:$R$24,'Interviews'!$J$5:$J$24,A11,'Interviews'!$B$5:$B$24,"completed",'Interviews'!$D$5:$D$24,"yes"),0)</x:f>
        <x:v>0</x:v>
      </x:c>
      <x:c r="E11" s="31" t="n">
        <x:f>IFERROR(AVERAGEIFS('Interviews'!$S$5:$S$24,'Interviews'!$J$5:$J$24,A11,'Interviews'!$B$5:$B$24,"completed",'Interviews'!$D$5:$D$24,"yes"),0)</x:f>
        <x:v>0</x:v>
      </x:c>
      <x:c r="F11" s="31" t="n">
        <x:f>IFERROR(AVERAGEIFS('Interviews'!$T$5:$T$24,'Interviews'!$J$5:$J$24,A11,'Interviews'!$B$5:$B$24,"completed",'Interviews'!$D$5:$D$24,"yes"),0)</x:f>
        <x:v>0</x:v>
      </x:c>
      <x:c r="G11" s="31" t="n">
        <x:f>IFERROR(AVERAGEIFS('Interviews'!$U$5:$U$24,'Interviews'!$J$5:$J$24,A11,'Interviews'!$B$5:$B$24,"completed",'Interviews'!$D$5:$D$24,"yes"),0)</x:f>
        <x:v>0</x:v>
      </x:c>
      <x:c r="H11" s="31" t="n">
        <x:f>IF(B11=0,0,(C11*'Scoring'!$B$5+D11*'Scoring'!$B$6+E11*'Scoring'!$B$7+F11*'Scoring'!$B$8+G11*'Scoring'!$B$9)*(MIN(B11,'Scoring'!$B$11)/'Scoring'!$B$11))</x:f>
        <x:v>0</x:v>
      </x:c>
      <x:c r="I11" s="27" t="str">
        <x:f>IF(H11=0,"",RANK(H11,$H$5:$H$20,0))</x:f>
      </x:c>
      <x:c r="J11" s="27" t="str">
        <x:f>IF(B11&gt;='Scoring'!$B$11,IF(I11&lt;=3,"top_3_candidate","repeated"),"insufficient_evidence")</x:f>
        <x:v>insufficient_evidence</x:v>
      </x:c>
      <x:c r="K11" s="27" t="str"/>
    </x:row>
    <x:row r="12">
      <x:c r="A12" s="27" t="str">
        <x:v>JH-08</x:v>
      </x:c>
      <x:c r="B12" s="27" t="n">
        <x:f>COUNTIFS('Interviews'!$J$5:$J$24,A12,'Interviews'!$B$5:$B$24,"completed",'Interviews'!$D$5:$D$24,"yes")</x:f>
        <x:v>0</x:v>
      </x:c>
      <x:c r="C12" s="31" t="n">
        <x:f>IFERROR(AVERAGEIFS('Interviews'!$Q$5:$Q$24,'Interviews'!$J$5:$J$24,A12,'Interviews'!$B$5:$B$24,"completed",'Interviews'!$D$5:$D$24,"yes"),0)</x:f>
        <x:v>0</x:v>
      </x:c>
      <x:c r="D12" s="31" t="n">
        <x:f>IFERROR(AVERAGEIFS('Interviews'!$R$5:$R$24,'Interviews'!$J$5:$J$24,A12,'Interviews'!$B$5:$B$24,"completed",'Interviews'!$D$5:$D$24,"yes"),0)</x:f>
        <x:v>0</x:v>
      </x:c>
      <x:c r="E12" s="31" t="n">
        <x:f>IFERROR(AVERAGEIFS('Interviews'!$S$5:$S$24,'Interviews'!$J$5:$J$24,A12,'Interviews'!$B$5:$B$24,"completed",'Interviews'!$D$5:$D$24,"yes"),0)</x:f>
        <x:v>0</x:v>
      </x:c>
      <x:c r="F12" s="31" t="n">
        <x:f>IFERROR(AVERAGEIFS('Interviews'!$T$5:$T$24,'Interviews'!$J$5:$J$24,A12,'Interviews'!$B$5:$B$24,"completed",'Interviews'!$D$5:$D$24,"yes"),0)</x:f>
        <x:v>0</x:v>
      </x:c>
      <x:c r="G12" s="31" t="n">
        <x:f>IFERROR(AVERAGEIFS('Interviews'!$U$5:$U$24,'Interviews'!$J$5:$J$24,A12,'Interviews'!$B$5:$B$24,"completed",'Interviews'!$D$5:$D$24,"yes"),0)</x:f>
        <x:v>0</x:v>
      </x:c>
      <x:c r="H12" s="31" t="n">
        <x:f>IF(B12=0,0,(C12*'Scoring'!$B$5+D12*'Scoring'!$B$6+E12*'Scoring'!$B$7+F12*'Scoring'!$B$8+G12*'Scoring'!$B$9)*(MIN(B12,'Scoring'!$B$11)/'Scoring'!$B$11))</x:f>
        <x:v>0</x:v>
      </x:c>
      <x:c r="I12" s="27" t="str">
        <x:f>IF(H12=0,"",RANK(H12,$H$5:$H$20,0))</x:f>
      </x:c>
      <x:c r="J12" s="27" t="str">
        <x:f>IF(B12&gt;='Scoring'!$B$11,IF(I12&lt;=3,"top_3_candidate","repeated"),"insufficient_evidence")</x:f>
        <x:v>insufficient_evidence</x:v>
      </x:c>
      <x:c r="K12" s="27" t="str"/>
    </x:row>
    <x:row r="13">
      <x:c r="A13" s="27" t="str">
        <x:v>JH-09</x:v>
      </x:c>
      <x:c r="B13" s="27" t="n">
        <x:f>COUNTIFS('Interviews'!$J$5:$J$24,A13,'Interviews'!$B$5:$B$24,"completed",'Interviews'!$D$5:$D$24,"yes")</x:f>
        <x:v>0</x:v>
      </x:c>
      <x:c r="C13" s="31" t="n">
        <x:f>IFERROR(AVERAGEIFS('Interviews'!$Q$5:$Q$24,'Interviews'!$J$5:$J$24,A13,'Interviews'!$B$5:$B$24,"completed",'Interviews'!$D$5:$D$24,"yes"),0)</x:f>
        <x:v>0</x:v>
      </x:c>
      <x:c r="D13" s="31" t="n">
        <x:f>IFERROR(AVERAGEIFS('Interviews'!$R$5:$R$24,'Interviews'!$J$5:$J$24,A13,'Interviews'!$B$5:$B$24,"completed",'Interviews'!$D$5:$D$24,"yes"),0)</x:f>
        <x:v>0</x:v>
      </x:c>
      <x:c r="E13" s="31" t="n">
        <x:f>IFERROR(AVERAGEIFS('Interviews'!$S$5:$S$24,'Interviews'!$J$5:$J$24,A13,'Interviews'!$B$5:$B$24,"completed",'Interviews'!$D$5:$D$24,"yes"),0)</x:f>
        <x:v>0</x:v>
      </x:c>
      <x:c r="F13" s="31" t="n">
        <x:f>IFERROR(AVERAGEIFS('Interviews'!$T$5:$T$24,'Interviews'!$J$5:$J$24,A13,'Interviews'!$B$5:$B$24,"completed",'Interviews'!$D$5:$D$24,"yes"),0)</x:f>
        <x:v>0</x:v>
      </x:c>
      <x:c r="G13" s="31" t="n">
        <x:f>IFERROR(AVERAGEIFS('Interviews'!$U$5:$U$24,'Interviews'!$J$5:$J$24,A13,'Interviews'!$B$5:$B$24,"completed",'Interviews'!$D$5:$D$24,"yes"),0)</x:f>
        <x:v>0</x:v>
      </x:c>
      <x:c r="H13" s="31" t="n">
        <x:f>IF(B13=0,0,(C13*'Scoring'!$B$5+D13*'Scoring'!$B$6+E13*'Scoring'!$B$7+F13*'Scoring'!$B$8+G13*'Scoring'!$B$9)*(MIN(B13,'Scoring'!$B$11)/'Scoring'!$B$11))</x:f>
        <x:v>0</x:v>
      </x:c>
      <x:c r="I13" s="27" t="str">
        <x:f>IF(H13=0,"",RANK(H13,$H$5:$H$20,0))</x:f>
      </x:c>
      <x:c r="J13" s="27" t="str">
        <x:f>IF(B13&gt;='Scoring'!$B$11,IF(I13&lt;=3,"top_3_candidate","repeated"),"insufficient_evidence")</x:f>
        <x:v>insufficient_evidence</x:v>
      </x:c>
      <x:c r="K13" s="27" t="str"/>
    </x:row>
    <x:row r="14">
      <x:c r="A14" s="27" t="str">
        <x:v>JH-10</x:v>
      </x:c>
      <x:c r="B14" s="27" t="n">
        <x:f>COUNTIFS('Interviews'!$J$5:$J$24,A14,'Interviews'!$B$5:$B$24,"completed",'Interviews'!$D$5:$D$24,"yes")</x:f>
        <x:v>0</x:v>
      </x:c>
      <x:c r="C14" s="31" t="n">
        <x:f>IFERROR(AVERAGEIFS('Interviews'!$Q$5:$Q$24,'Interviews'!$J$5:$J$24,A14,'Interviews'!$B$5:$B$24,"completed",'Interviews'!$D$5:$D$24,"yes"),0)</x:f>
        <x:v>0</x:v>
      </x:c>
      <x:c r="D14" s="31" t="n">
        <x:f>IFERROR(AVERAGEIFS('Interviews'!$R$5:$R$24,'Interviews'!$J$5:$J$24,A14,'Interviews'!$B$5:$B$24,"completed",'Interviews'!$D$5:$D$24,"yes"),0)</x:f>
        <x:v>0</x:v>
      </x:c>
      <x:c r="E14" s="31" t="n">
        <x:f>IFERROR(AVERAGEIFS('Interviews'!$S$5:$S$24,'Interviews'!$J$5:$J$24,A14,'Interviews'!$B$5:$B$24,"completed",'Interviews'!$D$5:$D$24,"yes"),0)</x:f>
        <x:v>0</x:v>
      </x:c>
      <x:c r="F14" s="31" t="n">
        <x:f>IFERROR(AVERAGEIFS('Interviews'!$T$5:$T$24,'Interviews'!$J$5:$J$24,A14,'Interviews'!$B$5:$B$24,"completed",'Interviews'!$D$5:$D$24,"yes"),0)</x:f>
        <x:v>0</x:v>
      </x:c>
      <x:c r="G14" s="31" t="n">
        <x:f>IFERROR(AVERAGEIFS('Interviews'!$U$5:$U$24,'Interviews'!$J$5:$J$24,A14,'Interviews'!$B$5:$B$24,"completed",'Interviews'!$D$5:$D$24,"yes"),0)</x:f>
        <x:v>0</x:v>
      </x:c>
      <x:c r="H14" s="31" t="n">
        <x:f>IF(B14=0,0,(C14*'Scoring'!$B$5+D14*'Scoring'!$B$6+E14*'Scoring'!$B$7+F14*'Scoring'!$B$8+G14*'Scoring'!$B$9)*(MIN(B14,'Scoring'!$B$11)/'Scoring'!$B$11))</x:f>
        <x:v>0</x:v>
      </x:c>
      <x:c r="I14" s="27" t="str">
        <x:f>IF(H14=0,"",RANK(H14,$H$5:$H$20,0))</x:f>
      </x:c>
      <x:c r="J14" s="27" t="str">
        <x:f>IF(B14&gt;='Scoring'!$B$11,IF(I14&lt;=3,"top_3_candidate","repeated"),"insufficient_evidence")</x:f>
        <x:v>insufficient_evidence</x:v>
      </x:c>
      <x:c r="K14" s="27" t="str"/>
    </x:row>
    <x:row r="15">
      <x:c r="A15" s="27" t="str">
        <x:v>JH-11</x:v>
      </x:c>
      <x:c r="B15" s="27" t="n">
        <x:f>COUNTIFS('Interviews'!$J$5:$J$24,A15,'Interviews'!$B$5:$B$24,"completed",'Interviews'!$D$5:$D$24,"yes")</x:f>
        <x:v>0</x:v>
      </x:c>
      <x:c r="C15" s="31" t="n">
        <x:f>IFERROR(AVERAGEIFS('Interviews'!$Q$5:$Q$24,'Interviews'!$J$5:$J$24,A15,'Interviews'!$B$5:$B$24,"completed",'Interviews'!$D$5:$D$24,"yes"),0)</x:f>
        <x:v>0</x:v>
      </x:c>
      <x:c r="D15" s="31" t="n">
        <x:f>IFERROR(AVERAGEIFS('Interviews'!$R$5:$R$24,'Interviews'!$J$5:$J$24,A15,'Interviews'!$B$5:$B$24,"completed",'Interviews'!$D$5:$D$24,"yes"),0)</x:f>
        <x:v>0</x:v>
      </x:c>
      <x:c r="E15" s="31" t="n">
        <x:f>IFERROR(AVERAGEIFS('Interviews'!$S$5:$S$24,'Interviews'!$J$5:$J$24,A15,'Interviews'!$B$5:$B$24,"completed",'Interviews'!$D$5:$D$24,"yes"),0)</x:f>
        <x:v>0</x:v>
      </x:c>
      <x:c r="F15" s="31" t="n">
        <x:f>IFERROR(AVERAGEIFS('Interviews'!$T$5:$T$24,'Interviews'!$J$5:$J$24,A15,'Interviews'!$B$5:$B$24,"completed",'Interviews'!$D$5:$D$24,"yes"),0)</x:f>
        <x:v>0</x:v>
      </x:c>
      <x:c r="G15" s="31" t="n">
        <x:f>IFERROR(AVERAGEIFS('Interviews'!$U$5:$U$24,'Interviews'!$J$5:$J$24,A15,'Interviews'!$B$5:$B$24,"completed",'Interviews'!$D$5:$D$24,"yes"),0)</x:f>
        <x:v>0</x:v>
      </x:c>
      <x:c r="H15" s="31" t="n">
        <x:f>IF(B15=0,0,(C15*'Scoring'!$B$5+D15*'Scoring'!$B$6+E15*'Scoring'!$B$7+F15*'Scoring'!$B$8+G15*'Scoring'!$B$9)*(MIN(B15,'Scoring'!$B$11)/'Scoring'!$B$11))</x:f>
        <x:v>0</x:v>
      </x:c>
      <x:c r="I15" s="27" t="str">
        <x:f>IF(H15=0,"",RANK(H15,$H$5:$H$20,0))</x:f>
      </x:c>
      <x:c r="J15" s="27" t="str">
        <x:f>IF(B15&gt;='Scoring'!$B$11,IF(I15&lt;=3,"top_3_candidate","repeated"),"insufficient_evidence")</x:f>
        <x:v>insufficient_evidence</x:v>
      </x:c>
      <x:c r="K15" s="27" t="str"/>
    </x:row>
    <x:row r="16">
      <x:c r="A16" s="27" t="str">
        <x:v>JH-12</x:v>
      </x:c>
      <x:c r="B16" s="27" t="n">
        <x:f>COUNTIFS('Interviews'!$J$5:$J$24,A16,'Interviews'!$B$5:$B$24,"completed",'Interviews'!$D$5:$D$24,"yes")</x:f>
        <x:v>0</x:v>
      </x:c>
      <x:c r="C16" s="31" t="n">
        <x:f>IFERROR(AVERAGEIFS('Interviews'!$Q$5:$Q$24,'Interviews'!$J$5:$J$24,A16,'Interviews'!$B$5:$B$24,"completed",'Interviews'!$D$5:$D$24,"yes"),0)</x:f>
        <x:v>0</x:v>
      </x:c>
      <x:c r="D16" s="31" t="n">
        <x:f>IFERROR(AVERAGEIFS('Interviews'!$R$5:$R$24,'Interviews'!$J$5:$J$24,A16,'Interviews'!$B$5:$B$24,"completed",'Interviews'!$D$5:$D$24,"yes"),0)</x:f>
        <x:v>0</x:v>
      </x:c>
      <x:c r="E16" s="31" t="n">
        <x:f>IFERROR(AVERAGEIFS('Interviews'!$S$5:$S$24,'Interviews'!$J$5:$J$24,A16,'Interviews'!$B$5:$B$24,"completed",'Interviews'!$D$5:$D$24,"yes"),0)</x:f>
        <x:v>0</x:v>
      </x:c>
      <x:c r="F16" s="31" t="n">
        <x:f>IFERROR(AVERAGEIFS('Interviews'!$T$5:$T$24,'Interviews'!$J$5:$J$24,A16,'Interviews'!$B$5:$B$24,"completed",'Interviews'!$D$5:$D$24,"yes"),0)</x:f>
        <x:v>0</x:v>
      </x:c>
      <x:c r="G16" s="31" t="n">
        <x:f>IFERROR(AVERAGEIFS('Interviews'!$U$5:$U$24,'Interviews'!$J$5:$J$24,A16,'Interviews'!$B$5:$B$24,"completed",'Interviews'!$D$5:$D$24,"yes"),0)</x:f>
        <x:v>0</x:v>
      </x:c>
      <x:c r="H16" s="31" t="n">
        <x:f>IF(B16=0,0,(C16*'Scoring'!$B$5+D16*'Scoring'!$B$6+E16*'Scoring'!$B$7+F16*'Scoring'!$B$8+G16*'Scoring'!$B$9)*(MIN(B16,'Scoring'!$B$11)/'Scoring'!$B$11))</x:f>
        <x:v>0</x:v>
      </x:c>
      <x:c r="I16" s="27" t="str">
        <x:f>IF(H16=0,"",RANK(H16,$H$5:$H$20,0))</x:f>
      </x:c>
      <x:c r="J16" s="27" t="str">
        <x:f>IF(B16&gt;='Scoring'!$B$11,IF(I16&lt;=3,"top_3_candidate","repeated"),"insufficient_evidence")</x:f>
        <x:v>insufficient_evidence</x:v>
      </x:c>
      <x:c r="K16" s="27" t="str"/>
    </x:row>
    <x:row r="17">
      <x:c r="A17" s="27" t="str">
        <x:v>JH-13</x:v>
      </x:c>
      <x:c r="B17" s="27" t="n">
        <x:f>COUNTIFS('Interviews'!$J$5:$J$24,A17,'Interviews'!$B$5:$B$24,"completed",'Interviews'!$D$5:$D$24,"yes")</x:f>
        <x:v>0</x:v>
      </x:c>
      <x:c r="C17" s="31" t="n">
        <x:f>IFERROR(AVERAGEIFS('Interviews'!$Q$5:$Q$24,'Interviews'!$J$5:$J$24,A17,'Interviews'!$B$5:$B$24,"completed",'Interviews'!$D$5:$D$24,"yes"),0)</x:f>
        <x:v>0</x:v>
      </x:c>
      <x:c r="D17" s="31" t="n">
        <x:f>IFERROR(AVERAGEIFS('Interviews'!$R$5:$R$24,'Interviews'!$J$5:$J$24,A17,'Interviews'!$B$5:$B$24,"completed",'Interviews'!$D$5:$D$24,"yes"),0)</x:f>
        <x:v>0</x:v>
      </x:c>
      <x:c r="E17" s="31" t="n">
        <x:f>IFERROR(AVERAGEIFS('Interviews'!$S$5:$S$24,'Interviews'!$J$5:$J$24,A17,'Interviews'!$B$5:$B$24,"completed",'Interviews'!$D$5:$D$24,"yes"),0)</x:f>
        <x:v>0</x:v>
      </x:c>
      <x:c r="F17" s="31" t="n">
        <x:f>IFERROR(AVERAGEIFS('Interviews'!$T$5:$T$24,'Interviews'!$J$5:$J$24,A17,'Interviews'!$B$5:$B$24,"completed",'Interviews'!$D$5:$D$24,"yes"),0)</x:f>
        <x:v>0</x:v>
      </x:c>
      <x:c r="G17" s="31" t="n">
        <x:f>IFERROR(AVERAGEIFS('Interviews'!$U$5:$U$24,'Interviews'!$J$5:$J$24,A17,'Interviews'!$B$5:$B$24,"completed",'Interviews'!$D$5:$D$24,"yes"),0)</x:f>
        <x:v>0</x:v>
      </x:c>
      <x:c r="H17" s="31" t="n">
        <x:f>IF(B17=0,0,(C17*'Scoring'!$B$5+D17*'Scoring'!$B$6+E17*'Scoring'!$B$7+F17*'Scoring'!$B$8+G17*'Scoring'!$B$9)*(MIN(B17,'Scoring'!$B$11)/'Scoring'!$B$11))</x:f>
        <x:v>0</x:v>
      </x:c>
      <x:c r="I17" s="27" t="str">
        <x:f>IF(H17=0,"",RANK(H17,$H$5:$H$20,0))</x:f>
      </x:c>
      <x:c r="J17" s="27" t="str">
        <x:f>IF(B17&gt;='Scoring'!$B$11,IF(I17&lt;=3,"top_3_candidate","repeated"),"insufficient_evidence")</x:f>
        <x:v>insufficient_evidence</x:v>
      </x:c>
      <x:c r="K17" s="27" t="str"/>
    </x:row>
    <x:row r="18">
      <x:c r="A18" s="27" t="str">
        <x:v>JH-14</x:v>
      </x:c>
      <x:c r="B18" s="27" t="n">
        <x:f>COUNTIFS('Interviews'!$J$5:$J$24,A18,'Interviews'!$B$5:$B$24,"completed",'Interviews'!$D$5:$D$24,"yes")</x:f>
        <x:v>0</x:v>
      </x:c>
      <x:c r="C18" s="31" t="n">
        <x:f>IFERROR(AVERAGEIFS('Interviews'!$Q$5:$Q$24,'Interviews'!$J$5:$J$24,A18,'Interviews'!$B$5:$B$24,"completed",'Interviews'!$D$5:$D$24,"yes"),0)</x:f>
        <x:v>0</x:v>
      </x:c>
      <x:c r="D18" s="31" t="n">
        <x:f>IFERROR(AVERAGEIFS('Interviews'!$R$5:$R$24,'Interviews'!$J$5:$J$24,A18,'Interviews'!$B$5:$B$24,"completed",'Interviews'!$D$5:$D$24,"yes"),0)</x:f>
        <x:v>0</x:v>
      </x:c>
      <x:c r="E18" s="31" t="n">
        <x:f>IFERROR(AVERAGEIFS('Interviews'!$S$5:$S$24,'Interviews'!$J$5:$J$24,A18,'Interviews'!$B$5:$B$24,"completed",'Interviews'!$D$5:$D$24,"yes"),0)</x:f>
        <x:v>0</x:v>
      </x:c>
      <x:c r="F18" s="31" t="n">
        <x:f>IFERROR(AVERAGEIFS('Interviews'!$T$5:$T$24,'Interviews'!$J$5:$J$24,A18,'Interviews'!$B$5:$B$24,"completed",'Interviews'!$D$5:$D$24,"yes"),0)</x:f>
        <x:v>0</x:v>
      </x:c>
      <x:c r="G18" s="31" t="n">
        <x:f>IFERROR(AVERAGEIFS('Interviews'!$U$5:$U$24,'Interviews'!$J$5:$J$24,A18,'Interviews'!$B$5:$B$24,"completed",'Interviews'!$D$5:$D$24,"yes"),0)</x:f>
        <x:v>0</x:v>
      </x:c>
      <x:c r="H18" s="31" t="n">
        <x:f>IF(B18=0,0,(C18*'Scoring'!$B$5+D18*'Scoring'!$B$6+E18*'Scoring'!$B$7+F18*'Scoring'!$B$8+G18*'Scoring'!$B$9)*(MIN(B18,'Scoring'!$B$11)/'Scoring'!$B$11))</x:f>
        <x:v>0</x:v>
      </x:c>
      <x:c r="I18" s="27" t="str">
        <x:f>IF(H18=0,"",RANK(H18,$H$5:$H$20,0))</x:f>
      </x:c>
      <x:c r="J18" s="27" t="str">
        <x:f>IF(B18&gt;='Scoring'!$B$11,IF(I18&lt;=3,"top_3_candidate","repeated"),"insufficient_evidence")</x:f>
        <x:v>insufficient_evidence</x:v>
      </x:c>
      <x:c r="K18" s="27" t="str"/>
    </x:row>
    <x:row r="19">
      <x:c r="A19" s="27" t="str">
        <x:v>JH-15</x:v>
      </x:c>
      <x:c r="B19" s="27" t="n">
        <x:f>COUNTIFS('Interviews'!$J$5:$J$24,A19,'Interviews'!$B$5:$B$24,"completed",'Interviews'!$D$5:$D$24,"yes")</x:f>
        <x:v>0</x:v>
      </x:c>
      <x:c r="C19" s="31" t="n">
        <x:f>IFERROR(AVERAGEIFS('Interviews'!$Q$5:$Q$24,'Interviews'!$J$5:$J$24,A19,'Interviews'!$B$5:$B$24,"completed",'Interviews'!$D$5:$D$24,"yes"),0)</x:f>
        <x:v>0</x:v>
      </x:c>
      <x:c r="D19" s="31" t="n">
        <x:f>IFERROR(AVERAGEIFS('Interviews'!$R$5:$R$24,'Interviews'!$J$5:$J$24,A19,'Interviews'!$B$5:$B$24,"completed",'Interviews'!$D$5:$D$24,"yes"),0)</x:f>
        <x:v>0</x:v>
      </x:c>
      <x:c r="E19" s="31" t="n">
        <x:f>IFERROR(AVERAGEIFS('Interviews'!$S$5:$S$24,'Interviews'!$J$5:$J$24,A19,'Interviews'!$B$5:$B$24,"completed",'Interviews'!$D$5:$D$24,"yes"),0)</x:f>
        <x:v>0</x:v>
      </x:c>
      <x:c r="F19" s="31" t="n">
        <x:f>IFERROR(AVERAGEIFS('Interviews'!$T$5:$T$24,'Interviews'!$J$5:$J$24,A19,'Interviews'!$B$5:$B$24,"completed",'Interviews'!$D$5:$D$24,"yes"),0)</x:f>
        <x:v>0</x:v>
      </x:c>
      <x:c r="G19" s="31" t="n">
        <x:f>IFERROR(AVERAGEIFS('Interviews'!$U$5:$U$24,'Interviews'!$J$5:$J$24,A19,'Interviews'!$B$5:$B$24,"completed",'Interviews'!$D$5:$D$24,"yes"),0)</x:f>
        <x:v>0</x:v>
      </x:c>
      <x:c r="H19" s="31" t="n">
        <x:f>IF(B19=0,0,(C19*'Scoring'!$B$5+D19*'Scoring'!$B$6+E19*'Scoring'!$B$7+F19*'Scoring'!$B$8+G19*'Scoring'!$B$9)*(MIN(B19,'Scoring'!$B$11)/'Scoring'!$B$11))</x:f>
        <x:v>0</x:v>
      </x:c>
      <x:c r="I19" s="27" t="str">
        <x:f>IF(H19=0,"",RANK(H19,$H$5:$H$20,0))</x:f>
      </x:c>
      <x:c r="J19" s="27" t="str">
        <x:f>IF(B19&gt;='Scoring'!$B$11,IF(I19&lt;=3,"top_3_candidate","repeated"),"insufficient_evidence")</x:f>
        <x:v>insufficient_evidence</x:v>
      </x:c>
      <x:c r="K19" s="27" t="str"/>
    </x:row>
    <x:row r="20">
      <x:c r="A20" s="27" t="str">
        <x:v>JH-16</x:v>
      </x:c>
      <x:c r="B20" s="27" t="n">
        <x:f>COUNTIFS('Interviews'!$J$5:$J$24,A20,'Interviews'!$B$5:$B$24,"completed",'Interviews'!$D$5:$D$24,"yes")</x:f>
        <x:v>0</x:v>
      </x:c>
      <x:c r="C20" s="31" t="n">
        <x:f>IFERROR(AVERAGEIFS('Interviews'!$Q$5:$Q$24,'Interviews'!$J$5:$J$24,A20,'Interviews'!$B$5:$B$24,"completed",'Interviews'!$D$5:$D$24,"yes"),0)</x:f>
        <x:v>0</x:v>
      </x:c>
      <x:c r="D20" s="31" t="n">
        <x:f>IFERROR(AVERAGEIFS('Interviews'!$R$5:$R$24,'Interviews'!$J$5:$J$24,A20,'Interviews'!$B$5:$B$24,"completed",'Interviews'!$D$5:$D$24,"yes"),0)</x:f>
        <x:v>0</x:v>
      </x:c>
      <x:c r="E20" s="31" t="n">
        <x:f>IFERROR(AVERAGEIFS('Interviews'!$S$5:$S$24,'Interviews'!$J$5:$J$24,A20,'Interviews'!$B$5:$B$24,"completed",'Interviews'!$D$5:$D$24,"yes"),0)</x:f>
        <x:v>0</x:v>
      </x:c>
      <x:c r="F20" s="31" t="n">
        <x:f>IFERROR(AVERAGEIFS('Interviews'!$T$5:$T$24,'Interviews'!$J$5:$J$24,A20,'Interviews'!$B$5:$B$24,"completed",'Interviews'!$D$5:$D$24,"yes"),0)</x:f>
        <x:v>0</x:v>
      </x:c>
      <x:c r="G20" s="31" t="n">
        <x:f>IFERROR(AVERAGEIFS('Interviews'!$U$5:$U$24,'Interviews'!$J$5:$J$24,A20,'Interviews'!$B$5:$B$24,"completed",'Interviews'!$D$5:$D$24,"yes"),0)</x:f>
        <x:v>0</x:v>
      </x:c>
      <x:c r="H20" s="31" t="n">
        <x:f>IF(B20=0,0,(C20*'Scoring'!$B$5+D20*'Scoring'!$B$6+E20*'Scoring'!$B$7+F20*'Scoring'!$B$8+G20*'Scoring'!$B$9)*(MIN(B20,'Scoring'!$B$11)/'Scoring'!$B$11))</x:f>
        <x:v>0</x:v>
      </x:c>
      <x:c r="I20" s="27" t="str">
        <x:f>IF(H20=0,"",RANK(H20,$H$5:$H$20,0))</x:f>
      </x:c>
      <x:c r="J20" s="27" t="str">
        <x:f>IF(B20&gt;='Scoring'!$B$11,IF(I20&lt;=3,"top_3_candidate","repeated"),"insufficient_evidence")</x:f>
        <x:v>insufficient_evidence</x:v>
      </x:c>
      <x:c r="K20" s="27" t="str"/>
    </x:row>
  </x:sheetData>
  <x:mergeCells>
    <x:mergeCell ref="A1:K1"/>
    <x:mergeCell ref="A2:K2"/>
  </x:mergeCells>
  <x:conditionalFormatting sqref="J5:J20">
    <x:cfRule type="containsText" dxfId="25" priority="1" operator="containsText" text="approved"/>
    <x:cfRule type="containsText" dxfId="26" priority="2" operator="containsText" text="completed"/>
    <x:cfRule type="containsText" dxfId="27" priority="3" operator="containsText" text="validated"/>
    <x:cfRule type="containsText" dxfId="28" priority="4" operator="containsText" text="pending"/>
    <x:cfRule type="containsText" dxfId="29" priority="5" operator="containsText" text="blocked"/>
  </x:conditionalFormatting>
  <x:pageMargins left="0.7" right="0.7" top="0.75" bottom="0.75" header="0.3" footer="0.3"/>
  <x:tableParts count="1">
    <x:tablePart xmlns:r="http://schemas.openxmlformats.org/officeDocument/2006/relationships" r:id="R48f5311d2ce64ad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38" hidden="0" customWidth="1"/>
    <x:col min="3" max="3" width="28" hidden="0" customWidth="1"/>
    <x:col min="4" max="4" width="32" hidden="0" customWidth="1"/>
    <x:col min="5" max="5" width="30" hidden="0" customWidth="1"/>
    <x:col min="6" max="6" width="34" hidden="0" customWidth="1"/>
    <x:col min="7" max="7" width="20" hidden="0" customWidth="1"/>
    <x:col min="8" max="8" width="30" hidden="0" customWidth="1"/>
  </x:cols>
  <x:sheetData>
    <x:row r="1" ht="32" customHeight="1">
      <x:c r="A1" s="25" t="str">
        <x:v>Day 2 Job Hypothesis Catalog</x:v>
      </x:c>
      <x:c r="B1" s="25"/>
      <x:c r="C1" s="25"/>
      <x:c r="D1" s="25"/>
      <x:c r="E1" s="25"/>
      <x:c r="F1" s="25"/>
      <x:c r="G1" s="25"/>
      <x:c r="H1" s="25"/>
    </x:row>
    <x:row r="2" ht="30" customHeight="1">
      <x:c r="A2" s="26" t="str">
        <x:v>Hypotheses organize interviews; they are not validated findings. Replace assumptions only after independent evidence repeats.</x:v>
      </x:c>
      <x:c r="B2" s="26"/>
      <x:c r="C2" s="26"/>
      <x:c r="D2" s="26"/>
      <x:c r="E2" s="26"/>
      <x:c r="F2" s="26"/>
      <x:c r="G2" s="26"/>
      <x:c r="H2" s="26"/>
    </x:row>
    <x:row r="3">
      <x:c r="A3" s="27"/>
      <x:c r="B3" s="27"/>
      <x:c r="C3" s="27"/>
      <x:c r="D3" s="27"/>
      <x:c r="E3" s="27"/>
      <x:c r="F3" s="27"/>
      <x:c r="G3" s="27"/>
      <x:c r="H3" s="27"/>
    </x:row>
    <x:row r="4">
      <x:c r="A4" s="27" t="str">
        <x:v>job_code</x:v>
      </x:c>
      <x:c r="B4" s="27" t="str">
        <x:v>job_hypothesis</x:v>
      </x:c>
      <x:c r="C4" s="27" t="str">
        <x:v>trigger_hypothesis</x:v>
      </x:c>
      <x:c r="D4" s="27" t="str">
        <x:v>workaround_hypothesis</x:v>
      </x:c>
      <x:c r="E4" s="27" t="str">
        <x:v>pain_hypothesis</x:v>
      </x:c>
      <x:c r="F4" s="27" t="str">
        <x:v>desired_outcome_hypothesis</x:v>
      </x:c>
      <x:c r="G4" s="27" t="str">
        <x:v>evidence_status</x:v>
      </x:c>
      <x:c r="H4" s="27" t="str">
        <x:v>notes</x:v>
      </x:c>
    </x:row>
    <x:row r="5">
      <x:c r="A5" s="27" t="str">
        <x:v>JH-01</x:v>
      </x:c>
      <x:c r="B5" s="27" t="str">
        <x:v>Choose recurring class work versus one-off creation</x:v>
      </x:c>
      <x:c r="C5" s="27" t="str">
        <x:v>Teacher starts preparation</x:v>
      </x:c>
      <x:c r="D5" s="27" t="str">
        <x:v>Search chats/files and rebuild context</x:v>
      </x:c>
      <x:c r="E5" s="27" t="str">
        <x:v>Repeated navigation and context entry</x:v>
      </x:c>
      <x:c r="F5" s="27" t="str">
        <x:v>Reach the right workflow immediately</x:v>
      </x:c>
      <x:c r="G5" s="27" t="str">
        <x:v>pending_interviews</x:v>
      </x:c>
      <x:c r="H5" s="27" t="str">
        <x:v>Recommended beachhead assumption</x:v>
      </x:c>
    </x:row>
    <x:row r="6">
      <x:c r="A6" s="27" t="str">
        <x:v>JH-02</x:v>
      </x:c>
      <x:c r="B6" s="27" t="str">
        <x:v>Create reusable class memory quickly</x:v>
      </x:c>
      <x:c r="C6" s="27" t="str">
        <x:v>A class begins or changes</x:v>
      </x:c>
      <x:c r="D6" s="27" t="str">
        <x:v>Keep notes mentally or in scattered files</x:v>
      </x:c>
      <x:c r="E6" s="27" t="str">
        <x:v>Setup feels like admin work</x:v>
      </x:c>
      <x:c r="F6" s="27" t="str">
        <x:v>Useful memory in under two minutes</x:v>
      </x:c>
      <x:c r="G6" s="27" t="str">
        <x:v>pending_interviews</x:v>
      </x:c>
      <x:c r="H6" s="27" t="str"/>
    </x:row>
    <x:row r="7">
      <x:c r="A7" s="27" t="str">
        <x:v>JH-03</x:v>
      </x:c>
      <x:c r="B7" s="27" t="str">
        <x:v>See what needs attention for a class</x:v>
      </x:c>
      <x:c r="C7" s="27" t="str">
        <x:v>Before or after teaching</x:v>
      </x:c>
      <x:c r="D7" s="27" t="str">
        <x:v>Scan notes and folders</x:v>
      </x:c>
      <x:c r="E7" s="27" t="str">
        <x:v>Next action is unclear</x:v>
      </x:c>
      <x:c r="F7" s="27" t="str">
        <x:v>One compact decision-focused dashboard</x:v>
      </x:c>
      <x:c r="G7" s="27" t="str">
        <x:v>pending_interviews</x:v>
      </x:c>
      <x:c r="H7" s="27" t="str"/>
    </x:row>
    <x:row r="8">
      <x:c r="A8" s="27" t="str">
        <x:v>JH-04</x:v>
      </x:c>
      <x:c r="B8" s="27" t="str">
        <x:v>Generate materials that remember the class</x:v>
      </x:c>
      <x:c r="C8" s="27" t="str">
        <x:v>Preparing a recurring lesson</x:v>
      </x:c>
      <x:c r="D8" s="27" t="str">
        <x:v>Retype level, goals, constraints</x:v>
      </x:c>
      <x:c r="E8" s="27" t="str">
        <x:v>Generic outputs and repeated input</x:v>
      </x:c>
      <x:c r="F8" s="27" t="str">
        <x:v>Class-ready material with fewer inputs</x:v>
      </x:c>
      <x:c r="G8" s="27" t="str">
        <x:v>pending_interviews</x:v>
      </x:c>
      <x:c r="H8" s="27" t="str"/>
    </x:row>
    <x:row r="9">
      <x:c r="A9" s="27" t="str">
        <x:v>JH-05</x:v>
      </x:c>
      <x:c r="B9" s="27" t="str">
        <x:v>Separate generated plans from lessons actually taught</x:v>
      </x:c>
      <x:c r="C9" s="27" t="str">
        <x:v>A plan changes or teaching finishes</x:v>
      </x:c>
      <x:c r="D9" s="27" t="str">
        <x:v>Rely on memory</x:v>
      </x:c>
      <x:c r="E9" s="27" t="str">
        <x:v>History becomes untrustworthy</x:v>
      </x:c>
      <x:c r="F9" s="27" t="str">
        <x:v>Accurate lesson truth and history</x:v>
      </x:c>
      <x:c r="G9" s="27" t="str">
        <x:v>pending_interviews</x:v>
      </x:c>
      <x:c r="H9" s="27" t="str"/>
    </x:row>
    <x:row r="10">
      <x:c r="A10" s="27" t="str">
        <x:v>JH-06</x:v>
      </x:c>
      <x:c r="B10" s="27" t="str">
        <x:v>Record a lesson outcome in seconds</x:v>
      </x:c>
      <x:c r="C10" s="27" t="str">
        <x:v>Immediately after teaching</x:v>
      </x:c>
      <x:c r="D10" s="27" t="str">
        <x:v>Skip notes or write long prose later</x:v>
      </x:c>
      <x:c r="E10" s="27" t="str">
        <x:v>Continuity data is lost</x:v>
      </x:c>
      <x:c r="F10" s="27" t="str">
        <x:v>Useful outcome in under 30 seconds</x:v>
      </x:c>
      <x:c r="G10" s="27" t="str">
        <x:v>pending_interviews</x:v>
      </x:c>
      <x:c r="H10" s="27" t="str"/>
    </x:row>
    <x:row r="11">
      <x:c r="A11" s="27" t="str">
        <x:v>JH-07</x:v>
      </x:c>
      <x:c r="B11" s="27" t="str">
        <x:v>Decide the next lesson from recent evidence</x:v>
      </x:c>
      <x:c r="C11" s="27" t="str">
        <x:v>Planning the next class</x:v>
      </x:c>
      <x:c r="D11" s="27" t="str">
        <x:v>Reconstruct what happened</x:v>
      </x:c>
      <x:c r="E11" s="27" t="str">
        <x:v>Time lost and weak continuity</x:v>
      </x:c>
      <x:c r="F11" s="27" t="str">
        <x:v>Explainable next-lesson recommendation</x:v>
      </x:c>
      <x:c r="G11" s="27" t="str">
        <x:v>pending_interviews</x:v>
      </x:c>
      <x:c r="H11" s="27" t="str"/>
    </x:row>
    <x:row r="12">
      <x:c r="A12" s="27" t="str">
        <x:v>JH-08</x:v>
      </x:c>
      <x:c r="B12" s="27" t="str">
        <x:v>Submit anonymized student evidence safely</x:v>
      </x:c>
      <x:c r="C12" s="27" t="str">
        <x:v>After collecting work</x:v>
      </x:c>
      <x:c r="D12" s="27" t="str">
        <x:v>Manual inspection or unsafe sharing</x:v>
      </x:c>
      <x:c r="E12" s="27" t="str">
        <x:v>Evidence processing is slow/risky</x:v>
      </x:c>
      <x:c r="F12" s="27" t="str">
        <x:v>Controlled private evidence intake</x:v>
      </x:c>
      <x:c r="G12" s="27" t="str">
        <x:v>pending_interviews</x:v>
      </x:c>
      <x:c r="H12" s="27" t="str"/>
    </x:row>
    <x:row r="13">
      <x:c r="A13" s="27" t="str">
        <x:v>JH-09</x:v>
      </x:c>
      <x:c r="B13" s="27" t="str">
        <x:v>Find common strengths and errors in a batch</x:v>
      </x:c>
      <x:c r="C13" s="27" t="str">
        <x:v>After an assignment or assessment</x:v>
      </x:c>
      <x:c r="D13" s="27" t="str">
        <x:v>Tally patterns manually</x:v>
      </x:c>
      <x:c r="E13" s="27" t="str">
        <x:v>Analysis consumes planning time</x:v>
      </x:c>
      <x:c r="F13" s="27" t="str">
        <x:v>Traceable editable class diagnosis</x:v>
      </x:c>
      <x:c r="G13" s="27" t="str">
        <x:v>pending_interviews</x:v>
      </x:c>
      <x:c r="H13" s="27" t="str"/>
    </x:row>
    <x:row r="14">
      <x:c r="A14" s="27" t="str">
        <x:v>JH-10</x:v>
      </x:c>
      <x:c r="B14" s="27" t="str">
        <x:v>Draft useful writing feedback without replacing judgment</x:v>
      </x:c>
      <x:c r="C14" s="27" t="str">
        <x:v>Marking student writing</x:v>
      </x:c>
      <x:c r="D14" s="27" t="str">
        <x:v>Repeat similar comments</x:v>
      </x:c>
      <x:c r="E14" s="27" t="str">
        <x:v>Feedback is slow and inconsistent</x:v>
      </x:c>
      <x:c r="F14" s="27" t="str">
        <x:v>Editable strengths-first feedback</x:v>
      </x:c>
      <x:c r="G14" s="27" t="str">
        <x:v>pending_interviews</x:v>
      </x:c>
      <x:c r="H14" s="27" t="str"/>
    </x:row>
    <x:row r="15">
      <x:c r="A15" s="27" t="str">
        <x:v>JH-11</x:v>
      </x:c>
      <x:c r="B15" s="27" t="str">
        <x:v>Turn approved evidence into follow-up material</x:v>
      </x:c>
      <x:c r="C15" s="27" t="str">
        <x:v>After diagnosing a gap</x:v>
      </x:c>
      <x:c r="D15" s="27" t="str">
        <x:v>Start a new resource from scratch</x:v>
      </x:c>
      <x:c r="E15" s="27" t="str">
        <x:v>Diagnosis does not become action</x:v>
      </x:c>
      <x:c r="F15" s="27" t="str">
        <x:v>Targeted follow-up linked to evidence</x:v>
      </x:c>
      <x:c r="G15" s="27" t="str">
        <x:v>pending_interviews</x:v>
      </x:c>
      <x:c r="H15" s="27" t="str"/>
    </x:row>
    <x:row r="16">
      <x:c r="A16" s="27" t="str">
        <x:v>JH-12</x:v>
      </x:c>
      <x:c r="B16" s="27" t="str">
        <x:v>Differentiate one objective without triple planning</x:v>
      </x:c>
      <x:c r="C16" s="27" t="str">
        <x:v>Mixed-ability lesson preparation</x:v>
      </x:c>
      <x:c r="D16" s="27" t="str">
        <x:v>Create separate materials manually</x:v>
      </x:c>
      <x:c r="E16" s="27" t="str">
        <x:v>Differentiation multiplies workload</x:v>
      </x:c>
      <x:c r="F16" s="27" t="str">
        <x:v>Support/core/challenge from one source</x:v>
      </x:c>
      <x:c r="G16" s="27" t="str">
        <x:v>pending_interviews</x:v>
      </x:c>
      <x:c r="H16" s="27" t="str"/>
    </x:row>
    <x:row r="17">
      <x:c r="A17" s="27" t="str">
        <x:v>JH-13</x:v>
      </x:c>
      <x:c r="B17" s="27" t="str">
        <x:v>Bring due language back at useful intervals</x:v>
      </x:c>
      <x:c r="C17" s="27" t="str">
        <x:v>Planning review</x:v>
      </x:c>
      <x:c r="D17" s="27" t="str">
        <x:v>Ad hoc revision</x:v>
      </x:c>
      <x:c r="E17" s="27" t="str">
        <x:v>Important language is forgotten</x:v>
      </x:c>
      <x:c r="F17" s="27" t="str">
        <x:v>Teacher-controlled review queue</x:v>
      </x:c>
      <x:c r="G17" s="27" t="str">
        <x:v>pending_interviews</x:v>
      </x:c>
      <x:c r="H17" s="27" t="str"/>
    </x:row>
    <x:row r="18">
      <x:c r="A18" s="27" t="str">
        <x:v>JH-14</x:v>
      </x:c>
      <x:c r="B18" s="27" t="str">
        <x:v>Understand class progress without false precision</x:v>
      </x:c>
      <x:c r="C18" s="27" t="str">
        <x:v>Reviewing a unit or class</x:v>
      </x:c>
      <x:c r="D18" s="27" t="str">
        <x:v>Read scattered notes</x:v>
      </x:c>
      <x:c r="E18" s="27" t="str">
        <x:v>No trustworthy overview</x:v>
      </x:c>
      <x:c r="F18" s="27" t="str">
        <x:v>Source-linked instructional summary</x:v>
      </x:c>
      <x:c r="G18" s="27" t="str">
        <x:v>pending_interviews</x:v>
      </x:c>
      <x:c r="H18" s="27" t="str"/>
    </x:row>
    <x:row r="19">
      <x:c r="A19" s="27" t="str">
        <x:v>JH-15</x:v>
      </x:c>
      <x:c r="B19" s="27" t="str">
        <x:v>Keep lessons aligned with course and communicative goals</x:v>
      </x:c>
      <x:c r="C19" s="27" t="str">
        <x:v>Planning within a unit</x:v>
      </x:c>
      <x:c r="D19" s="27" t="str">
        <x:v>Manual cross-checking</x:v>
      </x:c>
      <x:c r="E19" s="27" t="str">
        <x:v>Objectives and tasks drift</x:v>
      </x:c>
      <x:c r="F19" s="27" t="str">
        <x:v>Approved curriculum/CEFR alignment</x:v>
      </x:c>
      <x:c r="G19" s="27" t="str">
        <x:v>pending_interviews</x:v>
      </x:c>
      <x:c r="H19" s="27" t="str"/>
    </x:row>
    <x:row r="20">
      <x:c r="A20" s="27" t="str">
        <x:v>JH-16</x:v>
      </x:c>
      <x:c r="B20" s="27" t="str">
        <x:v>Produce a defensible class report</x:v>
      </x:c>
      <x:c r="C20" s="27" t="str">
        <x:v>End of unit or reflection</x:v>
      </x:c>
      <x:c r="D20" s="27" t="str">
        <x:v>Assemble notes and rewrite</x:v>
      </x:c>
      <x:c r="E20" s="27" t="str">
        <x:v>Reporting is time-consuming and risky</x:v>
      </x:c>
      <x:c r="F20" s="27" t="str">
        <x:v>Editable source-linked report</x:v>
      </x:c>
      <x:c r="G20" s="27" t="str">
        <x:v>pending_interviews</x:v>
      </x:c>
      <x:c r="H20" s="27" t="str"/>
    </x:row>
  </x:sheetData>
  <x:mergeCells>
    <x:mergeCell ref="A1:H1"/>
    <x:mergeCell ref="A2:H2"/>
  </x:mergeCells>
  <x:conditionalFormatting sqref="G5:G20">
    <x:cfRule type="containsText" dxfId="10" priority="1" operator="containsText" text="approved"/>
    <x:cfRule type="containsText" dxfId="11" priority="2" operator="containsText" text="completed"/>
    <x:cfRule type="containsText" dxfId="12" priority="3" operator="containsText" text="validated"/>
    <x:cfRule type="containsText" dxfId="13" priority="4" operator="containsText" text="pending"/>
    <x:cfRule type="containsText" dxfId="14" priority="5" operator="containsText" text="blocked"/>
  </x:conditionalFormatting>
  <x:pageMargins left="0.7" right="0.7" top="0.75" bottom="0.75" header="0.3" footer="0.3"/>
  <x:tableParts count="1">
    <x:tablePart xmlns:r="http://schemas.openxmlformats.org/officeDocument/2006/relationships" r:id="R3bcdb8b90e1943d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8" hidden="0" customWidth="1"/>
    <x:col min="3" max="3" width="72" hidden="0" customWidth="1"/>
    <x:col min="4" max="4" width="20" hidden="0" customWidth="1"/>
    <x:col min="5" max="5" width="14" hidden="0" customWidth="1"/>
    <x:col min="6" max="6" width="24" hidden="0" customWidth="1"/>
    <x:col min="7" max="7" width="14" hidden="0" customWidth="1"/>
    <x:col min="8" max="8" width="20" hidden="0" customWidth="1"/>
    <x:col min="9" max="9" width="46" hidden="0" customWidth="1"/>
  </x:cols>
  <x:sheetData>
    <x:row r="1" ht="32" customHeight="1">
      <x:c r="A1" s="25" t="str">
        <x:v>Day 2 Feature-to-Evidence Map (Day 6-23)</x:v>
      </x:c>
      <x:c r="B1" s="25"/>
      <x:c r="C1" s="25"/>
      <x:c r="D1" s="25"/>
      <x:c r="E1" s="25"/>
      <x:c r="F1" s="25"/>
      <x:c r="G1" s="25"/>
      <x:c r="H1" s="25"/>
      <x:c r="I1" s="25"/>
    </x:row>
    <x:row r="2" ht="30" customHeight="1">
      <x:c r="A2" s="26" t="str">
        <x:v>All 90 planned feature bullets are listed. Safety requirements are approved; product hypotheses stay pending until mapped to de-identified completed interviews.</x:v>
      </x:c>
      <x:c r="B2" s="26"/>
      <x:c r="C2" s="26"/>
      <x:c r="D2" s="26"/>
      <x:c r="E2" s="26"/>
      <x:c r="F2" s="26"/>
      <x:c r="G2" s="26"/>
      <x:c r="H2" s="26"/>
      <x:c r="I2" s="26"/>
    </x:row>
    <x:row r="3">
      <x:c r="A3" s="27"/>
      <x:c r="B3" s="27"/>
      <x:c r="C3" s="27"/>
      <x:c r="D3" s="27"/>
      <x:c r="E3" s="27"/>
      <x:c r="F3" s="27"/>
      <x:c r="G3" s="27"/>
      <x:c r="H3" s="27"/>
      <x:c r="I3" s="27"/>
    </x:row>
    <x:row r="4">
      <x:c r="A4" s="27" t="str">
        <x:v>feature_id</x:v>
      </x:c>
      <x:c r="B4" s="27" t="str">
        <x:v>day</x:v>
      </x:c>
      <x:c r="C4" s="27" t="str">
        <x:v>planned_feature</x:v>
      </x:c>
      <x:c r="D4" s="27" t="str">
        <x:v>mapping_type</x:v>
      </x:c>
      <x:c r="E4" s="27" t="str">
        <x:v>mapping_id</x:v>
      </x:c>
      <x:c r="F4" s="27" t="str">
        <x:v>evidence_ids</x:v>
      </x:c>
      <x:c r="G4" s="27" t="str">
        <x:v>problem_code</x:v>
      </x:c>
      <x:c r="H4" s="27" t="str">
        <x:v>gate_status</x:v>
      </x:c>
      <x:c r="I4" s="27" t="str">
        <x:v>decision_notes</x:v>
      </x:c>
    </x:row>
    <x:row r="5">
      <x:c r="A5" s="27" t="str">
        <x:v>D6-F01</x:v>
      </x:c>
      <x:c r="B5" s="27" t="n">
        <x:v>6</x:v>
      </x:c>
      <x:c r="C5" s="27" t="str">
        <x:v>Change the home menu to My Classes, Quick Create, Analyze Work, Search, and Account behind the classes flag.</x:v>
      </x:c>
      <x:c r="D5" s="27" t="str">
        <x:v>hypothesis</x:v>
      </x:c>
      <x:c r="E5" s="27" t="str">
        <x:v>JH-01</x:v>
      </x:c>
      <x:c r="F5" s="27" t="str"/>
      <x:c r="G5" s="27" t="str"/>
      <x:c r="H5" s="27" t="str">
        <x:f>IF(D5="safety_reliability",IF(COUNTIF('Safety Requirements'!$A$5:$A$10,E5)&gt;0,"approved","blocked"),IF(D5="witnessed_task",IF(AND(F5&lt;&gt;"",G5&lt;&gt;""),"review","blocked"),"pending_interviews"))</x:f>
        <x:v>pending_interviews</x:v>
      </x:c>
      <x:c r="I5" s="27" t="str">
        <x:v>Do not build from this hypothesis until interview evidence is linked.</x:v>
      </x:c>
    </x:row>
    <x:row r="6">
      <x:c r="A6" s="27" t="str">
        <x:v>D6-F02</x:v>
      </x:c>
      <x:c r="B6" s="27" t="n">
        <x:v>6</x:v>
      </x:c>
      <x:c r="C6" s="27" t="str">
        <x:v>Move the four existing generators under Quick Create with their current callbacks preserved.</x:v>
      </x:c>
      <x:c r="D6" s="27" t="str">
        <x:v>safety_reliability</x:v>
      </x:c>
      <x:c r="E6" s="27" t="str">
        <x:v>SR-02</x:v>
      </x:c>
      <x:c r="F6" s="27" t="str"/>
      <x:c r="G6" s="27" t="str"/>
      <x:c r="H6" s="27" t="str">
        <x:f>IF(D6="safety_reliability",IF(COUNTIF('Safety Requirements'!$A$5:$A$10,E6)&gt;0,"approved","blocked"),IF(D6="witnessed_task",IF(AND(F6&lt;&gt;"",G6&lt;&gt;""),"review","blocked"),"pending_interviews"))</x:f>
        <x:v>approved</x:v>
      </x:c>
      <x:c r="I6" s="27" t="str">
        <x:v>Protective requirement; validate implementation through tests.</x:v>
      </x:c>
    </x:row>
    <x:row r="7">
      <x:c r="A7" s="27" t="str">
        <x:v>D6-F03</x:v>
      </x:c>
      <x:c r="B7" s="27" t="n">
        <x:v>6</x:v>
      </x:c>
      <x:c r="C7" s="27" t="str">
        <x:v>Implement active and archived class lists, a helpful empty state, compact callback IDs, Back/Main Menu consistency, and stale-callback recovery.</x:v>
      </x:c>
      <x:c r="D7" s="27" t="str">
        <x:v>safety_reliability</x:v>
      </x:c>
      <x:c r="E7" s="27" t="str">
        <x:v>SR-03</x:v>
      </x:c>
      <x:c r="F7" s="27" t="str"/>
      <x:c r="G7" s="27" t="str"/>
      <x:c r="H7" s="27" t="str">
        <x:f>IF(D7="safety_reliability",IF(COUNTIF('Safety Requirements'!$A$5:$A$10,E7)&gt;0,"approved","blocked"),IF(D7="witnessed_task",IF(AND(F7&lt;&gt;"",G7&lt;&gt;""),"review","blocked"),"pending_interviews"))</x:f>
        <x:v>approved</x:v>
      </x:c>
      <x:c r="I7" s="27" t="str">
        <x:v>Protective requirement; validate implementation through tests.</x:v>
      </x:c>
    </x:row>
    <x:row r="8">
      <x:c r="A8" s="27" t="str">
        <x:v>D6-F04</x:v>
      </x:c>
      <x:c r="B8" s="27" t="n">
        <x:v>6</x:v>
      </x:c>
      <x:c r="C8" s="27" t="str">
        <x:v>Show the active class name on every class-linked screen; never make context implicit.</x:v>
      </x:c>
      <x:c r="D8" s="27" t="str">
        <x:v>safety_reliability</x:v>
      </x:c>
      <x:c r="E8" s="27" t="str">
        <x:v>SR-01</x:v>
      </x:c>
      <x:c r="F8" s="27" t="str"/>
      <x:c r="G8" s="27" t="str"/>
      <x:c r="H8" s="27" t="str">
        <x:f>IF(D8="safety_reliability",IF(COUNTIF('Safety Requirements'!$A$5:$A$10,E8)&gt;0,"approved","blocked"),IF(D8="witnessed_task",IF(AND(F8&lt;&gt;"",G8&lt;&gt;""),"review","blocked"),"pending_interviews"))</x:f>
        <x:v>approved</x:v>
      </x:c>
      <x:c r="I8" s="27" t="str">
        <x:v>Protective requirement; validate implementation through tests.</x:v>
      </x:c>
    </x:row>
    <x:row r="9">
      <x:c r="A9" s="27" t="str">
        <x:v>D6-F05</x:v>
      </x:c>
      <x:c r="B9" s="27" t="n">
        <x:v>6</x:v>
      </x:c>
      <x:c r="C9" s="27" t="str">
        <x:v>Add route tests for every button and legacy callback path.</x:v>
      </x:c>
      <x:c r="D9" s="27" t="str">
        <x:v>safety_reliability</x:v>
      </x:c>
      <x:c r="E9" s="27" t="str">
        <x:v>SR-02</x:v>
      </x:c>
      <x:c r="F9" s="27" t="str"/>
      <x:c r="G9" s="27" t="str"/>
      <x:c r="H9" s="27" t="str">
        <x:f>IF(D9="safety_reliability",IF(COUNTIF('Safety Requirements'!$A$5:$A$10,E9)&gt;0,"approved","blocked"),IF(D9="witnessed_task",IF(AND(F9&lt;&gt;"",G9&lt;&gt;""),"review","blocked"),"pending_interviews"))</x:f>
        <x:v>approved</x:v>
      </x:c>
      <x:c r="I9" s="27" t="str">
        <x:v>Protective requirement; validate implementation through tests.</x:v>
      </x:c>
    </x:row>
    <x:row r="10">
      <x:c r="A10" s="27" t="str">
        <x:v>D7-F01</x:v>
      </x:c>
      <x:c r="B10" s="27" t="n">
        <x:v>7</x:v>
      </x:c>
      <x:c r="C10" s="27" t="str">
        <x:v>Collect only name, CEFR or not-sure, age group, class-size range, duration, main goal, weak areas, coursebook/unit optional, equipment, and teaching preference.</x:v>
      </x:c>
      <x:c r="D10" s="27" t="str">
        <x:v>hypothesis</x:v>
      </x:c>
      <x:c r="E10" s="27" t="str">
        <x:v>JH-02</x:v>
      </x:c>
      <x:c r="F10" s="27" t="str"/>
      <x:c r="G10" s="27" t="str"/>
      <x:c r="H10" s="27" t="str">
        <x:f>IF(D10="safety_reliability",IF(COUNTIF('Safety Requirements'!$A$5:$A$10,E10)&gt;0,"approved","blocked"),IF(D10="witnessed_task",IF(AND(F10&lt;&gt;"",G10&lt;&gt;""),"review","blocked"),"pending_interviews"))</x:f>
        <x:v>pending_interviews</x:v>
      </x:c>
      <x:c r="I10" s="27" t="str">
        <x:v>Do not build from this hypothesis until interview evidence is linked.</x:v>
      </x:c>
    </x:row>
    <x:row r="11">
      <x:c r="A11" s="27" t="str">
        <x:v>D7-F02</x:v>
      </x:c>
      <x:c r="B11" s="27" t="n">
        <x:v>7</x:v>
      </x:c>
      <x:c r="C11" s="27" t="str">
        <x:v>Use buttons, multi-select, Back, Skip, Cancel, Save Draft, and a final editable summary; normalize text and make saves idempotent.</x:v>
      </x:c>
      <x:c r="D11" s="27" t="str">
        <x:v>hypothesis</x:v>
      </x:c>
      <x:c r="E11" s="27" t="str">
        <x:v>JH-02</x:v>
      </x:c>
      <x:c r="F11" s="27" t="str"/>
      <x:c r="G11" s="27" t="str"/>
      <x:c r="H11" s="27" t="str">
        <x:f>IF(D11="safety_reliability",IF(COUNTIF('Safety Requirements'!$A$5:$A$10,E11)&gt;0,"approved","blocked"),IF(D11="witnessed_task",IF(AND(F11&lt;&gt;"",G11&lt;&gt;""),"review","blocked"),"pending_interviews"))</x:f>
        <x:v>pending_interviews</x:v>
      </x:c>
      <x:c r="I11" s="27" t="str">
        <x:v>Do not build from this hypothesis until interview evidence is linked.</x:v>
      </x:c>
    </x:row>
    <x:row r="12">
      <x:c r="A12" s="27" t="str">
        <x:v>D7-F03</x:v>
      </x:c>
      <x:c r="B12" s="27" t="n">
        <x:v>7</x:v>
      </x:c>
      <x:c r="C12" s="27" t="str">
        <x:v>Explain why each field improves output. Do not request real student names, disabilities, health data, or other sensitive profiles.</x:v>
      </x:c>
      <x:c r="D12" s="27" t="str">
        <x:v>safety_reliability</x:v>
      </x:c>
      <x:c r="E12" s="27" t="str">
        <x:v>SR-01</x:v>
      </x:c>
      <x:c r="F12" s="27" t="str"/>
      <x:c r="G12" s="27" t="str"/>
      <x:c r="H12" s="27" t="str">
        <x:f>IF(D12="safety_reliability",IF(COUNTIF('Safety Requirements'!$A$5:$A$10,E12)&gt;0,"approved","blocked"),IF(D12="witnessed_task",IF(AND(F12&lt;&gt;"",G12&lt;&gt;""),"review","blocked"),"pending_interviews"))</x:f>
        <x:v>approved</x:v>
      </x:c>
      <x:c r="I12" s="27" t="str">
        <x:v>Protective requirement; validate implementation through tests.</x:v>
      </x:c>
    </x:row>
    <x:row r="13">
      <x:c r="A13" s="27" t="str">
        <x:v>D7-F04</x:v>
      </x:c>
      <x:c r="B13" s="27" t="n">
        <x:v>7</x:v>
      </x:c>
      <x:c r="C13" s="27" t="str">
        <x:v>Allow 'use my last class as a template' only after the first class exists.</x:v>
      </x:c>
      <x:c r="D13" s="27" t="str">
        <x:v>hypothesis</x:v>
      </x:c>
      <x:c r="E13" s="27" t="str">
        <x:v>JH-02</x:v>
      </x:c>
      <x:c r="F13" s="27" t="str"/>
      <x:c r="G13" s="27" t="str"/>
      <x:c r="H13" s="27" t="str">
        <x:f>IF(D13="safety_reliability",IF(COUNTIF('Safety Requirements'!$A$5:$A$10,E13)&gt;0,"approved","blocked"),IF(D13="witnessed_task",IF(AND(F13&lt;&gt;"",G13&lt;&gt;""),"review","blocked"),"pending_interviews"))</x:f>
        <x:v>pending_interviews</x:v>
      </x:c>
      <x:c r="I13" s="27" t="str">
        <x:v>Do not build from this hypothesis until interview evidence is linked.</x:v>
      </x:c>
    </x:row>
    <x:row r="14">
      <x:c r="A14" s="27" t="str">
        <x:v>D7-F05</x:v>
      </x:c>
      <x:c r="B14" s="27" t="n">
        <x:v>7</x:v>
      </x:c>
      <x:c r="C14" s="27" t="str">
        <x:v>Apply plan limits through the central entitlement service, not handler-specific conditions.</x:v>
      </x:c>
      <x:c r="D14" s="27" t="str">
        <x:v>safety_reliability</x:v>
      </x:c>
      <x:c r="E14" s="27" t="str">
        <x:v>SR-04</x:v>
      </x:c>
      <x:c r="F14" s="27" t="str"/>
      <x:c r="G14" s="27" t="str"/>
      <x:c r="H14" s="27" t="str">
        <x:f>IF(D14="safety_reliability",IF(COUNTIF('Safety Requirements'!$A$5:$A$10,E14)&gt;0,"approved","blocked"),IF(D14="witnessed_task",IF(AND(F14&lt;&gt;"",G14&lt;&gt;""),"review","blocked"),"pending_interviews"))</x:f>
        <x:v>approved</x:v>
      </x:c>
      <x:c r="I14" s="27" t="str">
        <x:v>Protective requirement; validate implementation through tests.</x:v>
      </x:c>
    </x:row>
    <x:row r="15">
      <x:c r="A15" s="27" t="str">
        <x:v>D8-F01</x:v>
      </x:c>
      <x:c r="B15" s="27" t="n">
        <x:v>8</x:v>
      </x:c>
      <x:c r="C15" s="27" t="str">
        <x:v>Show compact profile, next planned lesson, last outcome, unresolved difficulty, due review count, and the primary Plan Next Lesson action.</x:v>
      </x:c>
      <x:c r="D15" s="27" t="str">
        <x:v>hypothesis</x:v>
      </x:c>
      <x:c r="E15" s="27" t="str">
        <x:v>JH-03</x:v>
      </x:c>
      <x:c r="F15" s="27" t="str"/>
      <x:c r="G15" s="27" t="str"/>
      <x:c r="H15" s="27" t="str">
        <x:f>IF(D15="safety_reliability",IF(COUNTIF('Safety Requirements'!$A$5:$A$10,E15)&gt;0,"approved","blocked"),IF(D15="witnessed_task",IF(AND(F15&lt;&gt;"",G15&lt;&gt;""),"review","blocked"),"pending_interviews"))</x:f>
        <x:v>pending_interviews</x:v>
      </x:c>
      <x:c r="I15" s="27" t="str">
        <x:v>Do not build from this hypothesis until interview evidence is linked.</x:v>
      </x:c>
    </x:row>
    <x:row r="16">
      <x:c r="A16" s="27" t="str">
        <x:v>D8-F02</x:v>
      </x:c>
      <x:c r="B16" s="27" t="n">
        <x:v>8</x:v>
      </x:c>
      <x:c r="C16" s="27" t="str">
        <x:v>Provide secondary actions: Analyze Work, Create Materials, Record Outcome, Progress, Library, and Profile.</x:v>
      </x:c>
      <x:c r="D16" s="27" t="str">
        <x:v>hypothesis</x:v>
      </x:c>
      <x:c r="E16" s="27" t="str">
        <x:v>JH-03</x:v>
      </x:c>
      <x:c r="F16" s="27" t="str"/>
      <x:c r="G16" s="27" t="str"/>
      <x:c r="H16" s="27" t="str">
        <x:f>IF(D16="safety_reliability",IF(COUNTIF('Safety Requirements'!$A$5:$A$10,E16)&gt;0,"approved","blocked"),IF(D16="witnessed_task",IF(AND(F16&lt;&gt;"",G16&lt;&gt;""),"review","blocked"),"pending_interviews"))</x:f>
        <x:v>pending_interviews</x:v>
      </x:c>
      <x:c r="I16" s="27" t="str">
        <x:v>Do not build from this hypothesis until interview evidence is linked.</x:v>
      </x:c>
    </x:row>
    <x:row r="17">
      <x:c r="A17" s="27" t="str">
        <x:v>D8-F03</x:v>
      </x:c>
      <x:c r="B17" s="27" t="n">
        <x:v>8</x:v>
      </x:c>
      <x:c r="C17" s="27" t="str">
        <x:v>Allow one-field edits, archive/restore with confirmation, last-active timestamp, and a clean no-history state.</x:v>
      </x:c>
      <x:c r="D17" s="27" t="str">
        <x:v>hypothesis</x:v>
      </x:c>
      <x:c r="E17" s="27" t="str">
        <x:v>JH-03</x:v>
      </x:c>
      <x:c r="F17" s="27" t="str"/>
      <x:c r="G17" s="27" t="str"/>
      <x:c r="H17" s="27" t="str">
        <x:f>IF(D17="safety_reliability",IF(COUNTIF('Safety Requirements'!$A$5:$A$10,E17)&gt;0,"approved","blocked"),IF(D17="witnessed_task",IF(AND(F17&lt;&gt;"",G17&lt;&gt;""),"review","blocked"),"pending_interviews"))</x:f>
        <x:v>pending_interviews</x:v>
      </x:c>
      <x:c r="I17" s="27" t="str">
        <x:v>Do not build from this hypothesis until interview evidence is linked.</x:v>
      </x:c>
    </x:row>
    <x:row r="18">
      <x:c r="A18" s="27" t="str">
        <x:v>D8-F04</x:v>
      </x:c>
      <x:c r="B18" s="27" t="n">
        <x:v>8</x:v>
      </x:c>
      <x:c r="C18" s="27" t="str">
        <x:v>Create a Today queue: unfinished setup, planned lesson, missing outcome, pending analysis approval, or review due.</x:v>
      </x:c>
      <x:c r="D18" s="27" t="str">
        <x:v>hypothesis</x:v>
      </x:c>
      <x:c r="E18" s="27" t="str">
        <x:v>JH-03</x:v>
      </x:c>
      <x:c r="F18" s="27" t="str"/>
      <x:c r="G18" s="27" t="str"/>
      <x:c r="H18" s="27" t="str">
        <x:f>IF(D18="safety_reliability",IF(COUNTIF('Safety Requirements'!$A$5:$A$10,E18)&gt;0,"approved","blocked"),IF(D18="witnessed_task",IF(AND(F18&lt;&gt;"",G18&lt;&gt;""),"review","blocked"),"pending_interviews"))</x:f>
        <x:v>pending_interviews</x:v>
      </x:c>
      <x:c r="I18" s="27" t="str">
        <x:v>Do not build from this hypothesis until interview evidence is linked.</x:v>
      </x:c>
    </x:row>
    <x:row r="19">
      <x:c r="A19" s="27" t="str">
        <x:v>D8-F05</x:v>
      </x:c>
      <x:c r="B19" s="27" t="n">
        <x:v>8</x:v>
      </x:c>
      <x:c r="C19" s="27" t="str">
        <x:v>Keep the message short enough for a phone; details open on demand.</x:v>
      </x:c>
      <x:c r="D19" s="27" t="str">
        <x:v>hypothesis</x:v>
      </x:c>
      <x:c r="E19" s="27" t="str">
        <x:v>JH-03</x:v>
      </x:c>
      <x:c r="F19" s="27" t="str"/>
      <x:c r="G19" s="27" t="str"/>
      <x:c r="H19" s="27" t="str">
        <x:f>IF(D19="safety_reliability",IF(COUNTIF('Safety Requirements'!$A$5:$A$10,E19)&gt;0,"approved","blocked"),IF(D19="witnessed_task",IF(AND(F19&lt;&gt;"",G19&lt;&gt;""),"review","blocked"),"pending_interviews"))</x:f>
        <x:v>pending_interviews</x:v>
      </x:c>
      <x:c r="I19" s="27" t="str">
        <x:v>Do not build from this hypothesis until interview evidence is linked.</x:v>
      </x:c>
    </x:row>
    <x:row r="20">
      <x:c r="A20" s="27" t="str">
        <x:v>D9-F01</x:v>
      </x:c>
      <x:c r="B20" s="27" t="n">
        <x:v>9</x:v>
      </x:c>
      <x:c r="C20" s="27" t="str">
        <x:v>Create class_context, ai_gateway, prompt_contracts, validators, and ai_audit modules; remove generator-specific duplicated context formatting.</x:v>
      </x:c>
      <x:c r="D20" s="27" t="str">
        <x:v>safety_reliability</x:v>
      </x:c>
      <x:c r="E20" s="27" t="str">
        <x:v>SR-05</x:v>
      </x:c>
      <x:c r="F20" s="27" t="str"/>
      <x:c r="G20" s="27" t="str"/>
      <x:c r="H20" s="27" t="str">
        <x:f>IF(D20="safety_reliability",IF(COUNTIF('Safety Requirements'!$A$5:$A$10,E20)&gt;0,"approved","blocked"),IF(D20="witnessed_task",IF(AND(F20&lt;&gt;"",G20&lt;&gt;""),"review","blocked"),"pending_interviews"))</x:f>
        <x:v>approved</x:v>
      </x:c>
      <x:c r="I20" s="27" t="str">
        <x:v>Protective requirement; validate implementation through tests.</x:v>
      </x:c>
    </x:row>
    <x:row r="21">
      <x:c r="A21" s="27" t="str">
        <x:v>D9-F02</x:v>
      </x:c>
      <x:c r="B21" s="27" t="n">
        <x:v>9</x:v>
      </x:c>
      <x:c r="C21" s="27" t="str">
        <x:v>Context sections: profile, approved objectives, recent lessons/outcomes, due review, approved evidence summaries, recent activity formats, constraints, and current request.</x:v>
      </x:c>
      <x:c r="D21" s="27" t="str">
        <x:v>safety_reliability</x:v>
      </x:c>
      <x:c r="E21" s="27" t="str">
        <x:v>SR-05</x:v>
      </x:c>
      <x:c r="F21" s="27" t="str"/>
      <x:c r="G21" s="27" t="str"/>
      <x:c r="H21" s="27" t="str">
        <x:f>IF(D21="safety_reliability",IF(COUNTIF('Safety Requirements'!$A$5:$A$10,E21)&gt;0,"approved","blocked"),IF(D21="witnessed_task",IF(AND(F21&lt;&gt;"",G21&lt;&gt;""),"review","blocked"),"pending_interviews"))</x:f>
        <x:v>approved</x:v>
      </x:c>
      <x:c r="I21" s="27" t="str">
        <x:v>Protective requirement; validate implementation through tests.</x:v>
      </x:c>
    </x:row>
    <x:row r="22">
      <x:c r="A22" s="27" t="str">
        <x:v>D9-F03</x:v>
      </x:c>
      <x:c r="B22" s="27" t="n">
        <x:v>9</x:v>
      </x:c>
      <x:c r="C22" s="27" t="str">
        <x:v>Apply recency/relevance caps, explicit unknown labels, token budgets, provider/model metadata, timeout/retry, and cost/latency telemetry.</x:v>
      </x:c>
      <x:c r="D22" s="27" t="str">
        <x:v>safety_reliability</x:v>
      </x:c>
      <x:c r="E22" s="27" t="str">
        <x:v>SR-02</x:v>
      </x:c>
      <x:c r="F22" s="27" t="str"/>
      <x:c r="G22" s="27" t="str"/>
      <x:c r="H22" s="27" t="str">
        <x:f>IF(D22="safety_reliability",IF(COUNTIF('Safety Requirements'!$A$5:$A$10,E22)&gt;0,"approved","blocked"),IF(D22="witnessed_task",IF(AND(F22&lt;&gt;"",G22&lt;&gt;""),"review","blocked"),"pending_interviews"))</x:f>
        <x:v>approved</x:v>
      </x:c>
      <x:c r="I22" s="27" t="str">
        <x:v>Protective requirement; validate implementation through tests.</x:v>
      </x:c>
    </x:row>
    <x:row r="23">
      <x:c r="A23" s="27" t="str">
        <x:v>D9-F04</x:v>
      </x:c>
      <x:c r="B23" s="27" t="n">
        <x:v>9</x:v>
      </x:c>
      <x:c r="C23" s="27" t="str">
        <x:v>Pipeline: request → structured JSON → schema validation → pedagogical validation → repair once → safe failure or render.</x:v>
      </x:c>
      <x:c r="D23" s="27" t="str">
        <x:v>safety_reliability</x:v>
      </x:c>
      <x:c r="E23" s="27" t="str">
        <x:v>SR-05</x:v>
      </x:c>
      <x:c r="F23" s="27" t="str"/>
      <x:c r="G23" s="27" t="str"/>
      <x:c r="H23" s="27" t="str">
        <x:f>IF(D23="safety_reliability",IF(COUNTIF('Safety Requirements'!$A$5:$A$10,E23)&gt;0,"approved","blocked"),IF(D23="witnessed_task",IF(AND(F23&lt;&gt;"",G23&lt;&gt;""),"review","blocked"),"pending_interviews"))</x:f>
        <x:v>approved</x:v>
      </x:c>
      <x:c r="I23" s="27" t="str">
        <x:v>Protective requirement; validate implementation through tests.</x:v>
      </x:c>
    </x:row>
    <x:row r="24">
      <x:c r="A24" s="27" t="str">
        <x:v>D9-F05</x:v>
      </x:c>
      <x:c r="B24" s="27" t="n">
        <x:v>9</x:v>
      </x:c>
      <x:c r="C24" s="27" t="str">
        <x:v>Store prompt/version hashes and source record IDs, not hidden reasoning and not raw sensitive content in logs.</x:v>
      </x:c>
      <x:c r="D24" s="27" t="str">
        <x:v>safety_reliability</x:v>
      </x:c>
      <x:c r="E24" s="27" t="str">
        <x:v>SR-01</x:v>
      </x:c>
      <x:c r="F24" s="27" t="str"/>
      <x:c r="G24" s="27" t="str"/>
      <x:c r="H24" s="27" t="str">
        <x:f>IF(D24="safety_reliability",IF(COUNTIF('Safety Requirements'!$A$5:$A$10,E24)&gt;0,"approved","blocked"),IF(D24="witnessed_task",IF(AND(F24&lt;&gt;"",G24&lt;&gt;""),"review","blocked"),"pending_interviews"))</x:f>
        <x:v>approved</x:v>
      </x:c>
      <x:c r="I24" s="27" t="str">
        <x:v>Protective requirement; validate implementation through tests.</x:v>
      </x:c>
    </x:row>
    <x:row r="25">
      <x:c r="A25" s="27" t="str">
        <x:v>D10-F01</x:v>
      </x:c>
      <x:c r="B25" s="27" t="n">
        <x:v>10</x:v>
      </x:c>
      <x:c r="C25" s="27" t="str">
        <x:v>When opened from a class, load context and ask only resource-specific information; allow temporary overrides with an explicit one-time label.</x:v>
      </x:c>
      <x:c r="D25" s="27" t="str">
        <x:v>hypothesis</x:v>
      </x:c>
      <x:c r="E25" s="27" t="str">
        <x:v>JH-04</x:v>
      </x:c>
      <x:c r="F25" s="27" t="str"/>
      <x:c r="G25" s="27" t="str"/>
      <x:c r="H25" s="27" t="str">
        <x:f>IF(D25="safety_reliability",IF(COUNTIF('Safety Requirements'!$A$5:$A$10,E25)&gt;0,"approved","blocked"),IF(D25="witnessed_task",IF(AND(F25&lt;&gt;"",G25&lt;&gt;""),"review","blocked"),"pending_interviews"))</x:f>
        <x:v>pending_interviews</x:v>
      </x:c>
      <x:c r="I25" s="27" t="str">
        <x:v>Do not build from this hypothesis until interview evidence is linked.</x:v>
      </x:c>
    </x:row>
    <x:row r="26">
      <x:c r="A26" s="27" t="str">
        <x:v>D10-F02</x:v>
      </x:c>
      <x:c r="B26" s="27" t="n">
        <x:v>10</x:v>
      </x:c>
      <x:c r="C26" s="27" t="str">
        <x:v>Save class_id, objective links, prompt/version metadata, quality scores, and source context IDs with each material.</x:v>
      </x:c>
      <x:c r="D26" s="27" t="str">
        <x:v>safety_reliability</x:v>
      </x:c>
      <x:c r="E26" s="27" t="str">
        <x:v>SR-05</x:v>
      </x:c>
      <x:c r="F26" s="27" t="str"/>
      <x:c r="G26" s="27" t="str"/>
      <x:c r="H26" s="27" t="str">
        <x:f>IF(D26="safety_reliability",IF(COUNTIF('Safety Requirements'!$A$5:$A$10,E26)&gt;0,"approved","blocked"),IF(D26="witnessed_task",IF(AND(F26&lt;&gt;"",G26&lt;&gt;""),"review","blocked"),"pending_interviews"))</x:f>
        <x:v>approved</x:v>
      </x:c>
      <x:c r="I26" s="27" t="str">
        <x:v>Protective requirement; validate implementation through tests.</x:v>
      </x:c>
    </x:row>
    <x:row r="27">
      <x:c r="A27" s="27" t="str">
        <x:v>D10-F03</x:v>
      </x:c>
      <x:c r="B27" s="27" t="n">
        <x:v>10</x:v>
      </x:c>
      <x:c r="C27" s="27" t="str">
        <x:v>Keep Quick Create fully functional without a class and preserve export, search, usage, subscription, and API-failure retry behavior.</x:v>
      </x:c>
      <x:c r="D27" s="27" t="str">
        <x:v>safety_reliability</x:v>
      </x:c>
      <x:c r="E27" s="27" t="str">
        <x:v>SR-02</x:v>
      </x:c>
      <x:c r="F27" s="27" t="str"/>
      <x:c r="G27" s="27" t="str"/>
      <x:c r="H27" s="27" t="str">
        <x:f>IF(D27="safety_reliability",IF(COUNTIF('Safety Requirements'!$A$5:$A$10,E27)&gt;0,"approved","blocked"),IF(D27="witnessed_task",IF(AND(F27&lt;&gt;"",G27&lt;&gt;""),"review","blocked"),"pending_interviews"))</x:f>
        <x:v>approved</x:v>
      </x:c>
      <x:c r="I27" s="27" t="str">
        <x:v>Protective requirement; validate implementation through tests.</x:v>
      </x:c>
    </x:row>
    <x:row r="28">
      <x:c r="A28" s="27" t="str">
        <x:v>D10-F04</x:v>
      </x:c>
      <x:c r="B28" s="27" t="n">
        <x:v>10</x:v>
      </x:c>
      <x:c r="C28" s="27" t="str">
        <x:v>Add a post-generation toolbar: Save, Export, Adapt, Use as Next Lesson where appropriate, Regenerate with change, and Report problem.</x:v>
      </x:c>
      <x:c r="D28" s="27" t="str">
        <x:v>hypothesis</x:v>
      </x:c>
      <x:c r="E28" s="27" t="str">
        <x:v>JH-04</x:v>
      </x:c>
      <x:c r="F28" s="27" t="str"/>
      <x:c r="G28" s="27" t="str"/>
      <x:c r="H28" s="27" t="str">
        <x:f>IF(D28="safety_reliability",IF(COUNTIF('Safety Requirements'!$A$5:$A$10,E28)&gt;0,"approved","blocked"),IF(D28="witnessed_task",IF(AND(F28&lt;&gt;"",G28&lt;&gt;""),"review","blocked"),"pending_interviews"))</x:f>
        <x:v>pending_interviews</x:v>
      </x:c>
      <x:c r="I28" s="27" t="str">
        <x:v>Do not build from this hypothesis until interview evidence is linked.</x:v>
      </x:c>
    </x:row>
    <x:row r="29">
      <x:c r="A29" s="27" t="str">
        <x:v>D10-F05</x:v>
      </x:c>
      <x:c r="B29" s="27" t="n">
        <x:v>10</x:v>
      </x:c>
      <x:c r="C29" s="27" t="str">
        <x:v>Validate timing, answer keys, instructions, level, resource requirements, and assessment-objective alignment before display.</x:v>
      </x:c>
      <x:c r="D29" s="27" t="str">
        <x:v>safety_reliability</x:v>
      </x:c>
      <x:c r="E29" s="27" t="str">
        <x:v>SR-05</x:v>
      </x:c>
      <x:c r="F29" s="27" t="str"/>
      <x:c r="G29" s="27" t="str"/>
      <x:c r="H29" s="27" t="str">
        <x:f>IF(D29="safety_reliability",IF(COUNTIF('Safety Requirements'!$A$5:$A$10,E29)&gt;0,"approved","blocked"),IF(D29="witnessed_task",IF(AND(F29&lt;&gt;"",G29&lt;&gt;""),"review","blocked"),"pending_interviews"))</x:f>
        <x:v>approved</x:v>
      </x:c>
      <x:c r="I29" s="27" t="str">
        <x:v>Protective requirement; validate implementation through tests.</x:v>
      </x:c>
    </x:row>
    <x:row r="30">
      <x:c r="A30" s="27" t="str">
        <x:v>D11-F01</x:v>
      </x:c>
      <x:c r="B30" s="27" t="n">
        <x:v>11</x:v>
      </x:c>
      <x:c r="C30" s="27" t="str">
        <x:v>Add generated, planned, taught, and cancelled states with explicit transitions and an immutable link to the underlying material.</x:v>
      </x:c>
      <x:c r="D30" s="27" t="str">
        <x:v>hypothesis</x:v>
      </x:c>
      <x:c r="E30" s="27" t="str">
        <x:v>JH-05</x:v>
      </x:c>
      <x:c r="F30" s="27" t="str"/>
      <x:c r="G30" s="27" t="str"/>
      <x:c r="H30" s="27" t="str">
        <x:f>IF(D30="safety_reliability",IF(COUNTIF('Safety Requirements'!$A$5:$A$10,E30)&gt;0,"approved","blocked"),IF(D30="witnessed_task",IF(AND(F30&lt;&gt;"",G30&lt;&gt;""),"review","blocked"),"pending_interviews"))</x:f>
        <x:v>pending_interviews</x:v>
      </x:c>
      <x:c r="I30" s="27" t="str">
        <x:v>Do not build from this hypothesis until interview evidence is linked.</x:v>
      </x:c>
    </x:row>
    <x:row r="31">
      <x:c r="A31" s="27" t="str">
        <x:v>D11-F02</x:v>
      </x:c>
      <x:c r="B31" s="27" t="n">
        <x:v>11</x:v>
      </x:c>
      <x:c r="C31" s="27" t="str">
        <x:v>After lesson generation, offer Use as Next Lesson and simple date choices: today, tomorrow, next class, or later.</x:v>
      </x:c>
      <x:c r="D31" s="27" t="str">
        <x:v>hypothesis</x:v>
      </x:c>
      <x:c r="E31" s="27" t="str">
        <x:v>JH-05</x:v>
      </x:c>
      <x:c r="F31" s="27" t="str"/>
      <x:c r="G31" s="27" t="str"/>
      <x:c r="H31" s="27" t="str">
        <x:f>IF(D31="safety_reliability",IF(COUNTIF('Safety Requirements'!$A$5:$A$10,E31)&gt;0,"approved","blocked"),IF(D31="witnessed_task",IF(AND(F31&lt;&gt;"",G31&lt;&gt;""),"review","blocked"),"pending_interviews"))</x:f>
        <x:v>pending_interviews</x:v>
      </x:c>
      <x:c r="I31" s="27" t="str">
        <x:v>Do not build from this hypothesis until interview evidence is linked.</x:v>
      </x:c>
    </x:row>
    <x:row r="32">
      <x:c r="A32" s="27" t="str">
        <x:v>D11-F03</x:v>
      </x:c>
      <x:c r="B32" s="27" t="n">
        <x:v>11</x:v>
      </x:c>
      <x:c r="C32" s="27" t="str">
        <x:v>Show the next planned lesson on the class dashboard; support replace/cancel while keeping the resource.</x:v>
      </x:c>
      <x:c r="D32" s="27" t="str">
        <x:v>hypothesis</x:v>
      </x:c>
      <x:c r="E32" s="27" t="str">
        <x:v>JH-05</x:v>
      </x:c>
      <x:c r="F32" s="27" t="str"/>
      <x:c r="G32" s="27" t="str"/>
      <x:c r="H32" s="27" t="str">
        <x:f>IF(D32="safety_reliability",IF(COUNTIF('Safety Requirements'!$A$5:$A$10,E32)&gt;0,"approved","blocked"),IF(D32="witnessed_task",IF(AND(F32&lt;&gt;"",G32&lt;&gt;""),"review","blocked"),"pending_interviews"))</x:f>
        <x:v>pending_interviews</x:v>
      </x:c>
      <x:c r="I32" s="27" t="str">
        <x:v>Do not build from this hypothesis until interview evidence is linked.</x:v>
      </x:c>
    </x:row>
    <x:row r="33">
      <x:c r="A33" s="27" t="str">
        <x:v>D11-F04</x:v>
      </x:c>
      <x:c r="B33" s="27" t="n">
        <x:v>11</x:v>
      </x:c>
      <x:c r="C33" s="27" t="str">
        <x:v>Make Mark as Taught idempotent and add a chronological lesson-history screen.</x:v>
      </x:c>
      <x:c r="D33" s="27" t="str">
        <x:v>safety_reliability</x:v>
      </x:c>
      <x:c r="E33" s="27" t="str">
        <x:v>SR-02</x:v>
      </x:c>
      <x:c r="F33" s="27" t="str"/>
      <x:c r="G33" s="27" t="str"/>
      <x:c r="H33" s="27" t="str">
        <x:f>IF(D33="safety_reliability",IF(COUNTIF('Safety Requirements'!$A$5:$A$10,E33)&gt;0,"approved","blocked"),IF(D33="witnessed_task",IF(AND(F33&lt;&gt;"",G33&lt;&gt;""),"review","blocked"),"pending_interviews"))</x:f>
        <x:v>approved</x:v>
      </x:c>
      <x:c r="I33" s="27" t="str">
        <x:v>Protective requirement; validate implementation through tests.</x:v>
      </x:c>
    </x:row>
    <x:row r="34">
      <x:c r="A34" s="27" t="str">
        <x:v>D11-F05</x:v>
      </x:c>
      <x:c r="B34" s="27" t="n">
        <x:v>11</x:v>
      </x:c>
      <x:c r="C34" s="27" t="str">
        <x:v>Do not update objectives, progress, or review schedules from a generated-only record.</x:v>
      </x:c>
      <x:c r="D34" s="27" t="str">
        <x:v>safety_reliability</x:v>
      </x:c>
      <x:c r="E34" s="27" t="str">
        <x:v>SR-05</x:v>
      </x:c>
      <x:c r="F34" s="27" t="str"/>
      <x:c r="G34" s="27" t="str"/>
      <x:c r="H34" s="27" t="str">
        <x:f>IF(D34="safety_reliability",IF(COUNTIF('Safety Requirements'!$A$5:$A$10,E34)&gt;0,"approved","blocked"),IF(D34="witnessed_task",IF(AND(F34&lt;&gt;"",G34&lt;&gt;""),"review","blocked"),"pending_interviews"))</x:f>
        <x:v>approved</x:v>
      </x:c>
      <x:c r="I34" s="27" t="str">
        <x:v>Protective requirement; validate implementation through tests.</x:v>
      </x:c>
    </x:row>
    <x:row r="35">
      <x:c r="A35" s="27" t="str">
        <x:v>D12-F01</x:v>
      </x:c>
      <x:c r="B35" s="27" t="n">
        <x:v>12</x:v>
      </x:c>
      <x:c r="C35" s="27" t="str">
        <x:v>Ask overall result: achieved, partly achieved, or needs reteaching.</x:v>
      </x:c>
      <x:c r="D35" s="27" t="str">
        <x:v>hypothesis</x:v>
      </x:c>
      <x:c r="E35" s="27" t="str">
        <x:v>JH-06</x:v>
      </x:c>
      <x:c r="F35" s="27" t="str"/>
      <x:c r="G35" s="27" t="str"/>
      <x:c r="H35" s="27" t="str">
        <x:f>IF(D35="safety_reliability",IF(COUNTIF('Safety Requirements'!$A$5:$A$10,E35)&gt;0,"approved","blocked"),IF(D35="witnessed_task",IF(AND(F35&lt;&gt;"",G35&lt;&gt;""),"review","blocked"),"pending_interviews"))</x:f>
        <x:v>pending_interviews</x:v>
      </x:c>
      <x:c r="I35" s="27" t="str">
        <x:v>Do not build from this hypothesis until interview evidence is linked.</x:v>
      </x:c>
    </x:row>
    <x:row r="36">
      <x:c r="A36" s="27" t="str">
        <x:v>D12-F02</x:v>
      </x:c>
      <x:c r="B36" s="27" t="n">
        <x:v>12</x:v>
      </x:c>
      <x:c r="C36" s="27" t="str">
        <x:v>Ask multi-select difficulty categories plus no major difficulty; ask completion status; make the teacher note optional.</x:v>
      </x:c>
      <x:c r="D36" s="27" t="str">
        <x:v>hypothesis</x:v>
      </x:c>
      <x:c r="E36" s="27" t="str">
        <x:v>JH-06</x:v>
      </x:c>
      <x:c r="F36" s="27" t="str"/>
      <x:c r="G36" s="27" t="str"/>
      <x:c r="H36" s="27" t="str">
        <x:f>IF(D36="safety_reliability",IF(COUNTIF('Safety Requirements'!$A$5:$A$10,E36)&gt;0,"approved","blocked"),IF(D36="witnessed_task",IF(AND(F36&lt;&gt;"",G36&lt;&gt;""),"review","blocked"),"pending_interviews"))</x:f>
        <x:v>pending_interviews</x:v>
      </x:c>
      <x:c r="I36" s="27" t="str">
        <x:v>Do not build from this hypothesis until interview evidence is linked.</x:v>
      </x:c>
    </x:row>
    <x:row r="37">
      <x:c r="A37" s="27" t="str">
        <x:v>D12-F03</x:v>
      </x:c>
      <x:c r="B37" s="27" t="n">
        <x:v>12</x:v>
      </x:c>
      <x:c r="C37" s="27" t="str">
        <x:v>Offer Save now before asking for prose; support edit, skip, reminder snooze, and duplicate prevention.</x:v>
      </x:c>
      <x:c r="D37" s="27" t="str">
        <x:v>safety_reliability</x:v>
      </x:c>
      <x:c r="E37" s="27" t="str">
        <x:v>SR-02</x:v>
      </x:c>
      <x:c r="F37" s="27" t="str"/>
      <x:c r="G37" s="27" t="str"/>
      <x:c r="H37" s="27" t="str">
        <x:f>IF(D37="safety_reliability",IF(COUNTIF('Safety Requirements'!$A$5:$A$10,E37)&gt;0,"approved","blocked"),IF(D37="witnessed_task",IF(AND(F37&lt;&gt;"",G37&lt;&gt;""),"review","blocked"),"pending_interviews"))</x:f>
        <x:v>approved</x:v>
      </x:c>
      <x:c r="I37" s="27" t="str">
        <x:v>Protective requirement; validate implementation through tests.</x:v>
      </x:c>
    </x:row>
    <x:row r="38">
      <x:c r="A38" s="27" t="str">
        <x:v>D12-F04</x:v>
      </x:c>
      <x:c r="B38" s="27" t="n">
        <x:v>12</x:v>
      </x:c>
      <x:c r="C38" s="27" t="str">
        <x:v>Prompt after Mark as Taught and optionally at a teacher-selected local time; never send excessive reminders.</x:v>
      </x:c>
      <x:c r="D38" s="27" t="str">
        <x:v>safety_reliability</x:v>
      </x:c>
      <x:c r="E38" s="27" t="str">
        <x:v>SR-03</x:v>
      </x:c>
      <x:c r="F38" s="27" t="str"/>
      <x:c r="G38" s="27" t="str"/>
      <x:c r="H38" s="27" t="str">
        <x:f>IF(D38="safety_reliability",IF(COUNTIF('Safety Requirements'!$A$5:$A$10,E38)&gt;0,"approved","blocked"),IF(D38="witnessed_task",IF(AND(F38&lt;&gt;"",G38&lt;&gt;""),"review","blocked"),"pending_interviews"))</x:f>
        <x:v>approved</x:v>
      </x:c>
      <x:c r="I38" s="27" t="str">
        <x:v>Protective requirement; validate implementation through tests.</x:v>
      </x:c>
    </x:row>
    <x:row r="39">
      <x:c r="A39" s="27" t="str">
        <x:v>D12-F05</x:v>
      </x:c>
      <x:c r="B39" s="27" t="n">
        <x:v>12</x:v>
      </x:c>
      <x:c r="C39" s="27" t="str">
        <x:v>Store recorded facts separately from later AI suggestions.</x:v>
      </x:c>
      <x:c r="D39" s="27" t="str">
        <x:v>safety_reliability</x:v>
      </x:c>
      <x:c r="E39" s="27" t="str">
        <x:v>SR-01</x:v>
      </x:c>
      <x:c r="F39" s="27" t="str"/>
      <x:c r="G39" s="27" t="str"/>
      <x:c r="H39" s="27" t="str">
        <x:f>IF(D39="safety_reliability",IF(COUNTIF('Safety Requirements'!$A$5:$A$10,E39)&gt;0,"approved","blocked"),IF(D39="witnessed_task",IF(AND(F39&lt;&gt;"",G39&lt;&gt;""),"review","blocked"),"pending_interviews"))</x:f>
        <x:v>approved</x:v>
      </x:c>
      <x:c r="I39" s="27" t="str">
        <x:v>Protective requirement; validate implementation through tests.</x:v>
      </x:c>
    </x:row>
    <x:row r="40">
      <x:c r="A40" s="27" t="str">
        <x:v>D13-F01</x:v>
      </x:c>
      <x:c r="B40" s="27" t="n">
        <x:v>13</x:v>
      </x:c>
      <x:c r="C40" s="27" t="str">
        <x:v>Offer use recommendation, continue unfinished work, reteach, start a new topic, prepare for assessment, or choose manually.</x:v>
      </x:c>
      <x:c r="D40" s="27" t="str">
        <x:v>hypothesis</x:v>
      </x:c>
      <x:c r="E40" s="27" t="str">
        <x:v>JH-07</x:v>
      </x:c>
      <x:c r="F40" s="27" t="str"/>
      <x:c r="G40" s="27" t="str"/>
      <x:c r="H40" s="27" t="str">
        <x:f>IF(D40="safety_reliability",IF(COUNTIF('Safety Requirements'!$A$5:$A$10,E40)&gt;0,"approved","blocked"),IF(D40="witnessed_task",IF(AND(F40&lt;&gt;"",G40&lt;&gt;""),"review","blocked"),"pending_interviews"))</x:f>
        <x:v>pending_interviews</x:v>
      </x:c>
      <x:c r="I40" s="27" t="str">
        <x:v>Do not build from this hypothesis until interview evidence is linked.</x:v>
      </x:c>
    </x:row>
    <x:row r="41">
      <x:c r="A41" s="27" t="str">
        <x:v>D13-F02</x:v>
      </x:c>
      <x:c r="B41" s="27" t="n">
        <x:v>13</x:v>
      </x:c>
      <x:c r="C41" s="27" t="str">
        <x:v>Generate can-do objectives, retrieval warm-up, input/review, controlled practice, communicative task, support, challenge, assessment check, homework, timing, and contingency.</x:v>
      </x:c>
      <x:c r="D41" s="27" t="str">
        <x:v>hypothesis</x:v>
      </x:c>
      <x:c r="E41" s="27" t="str">
        <x:v>JH-07</x:v>
      </x:c>
      <x:c r="F41" s="27" t="str"/>
      <x:c r="G41" s="27" t="str"/>
      <x:c r="H41" s="27" t="str">
        <x:f>IF(D41="safety_reliability",IF(COUNTIF('Safety Requirements'!$A$5:$A$10,E41)&gt;0,"approved","blocked"),IF(D41="witnessed_task",IF(AND(F41&lt;&gt;"",G41&lt;&gt;""),"review","blocked"),"pending_interviews"))</x:f>
        <x:v>pending_interviews</x:v>
      </x:c>
      <x:c r="I41" s="27" t="str">
        <x:v>Do not build from this hypothesis until interview evidence is linked.</x:v>
      </x:c>
    </x:row>
    <x:row r="42">
      <x:c r="A42" s="27" t="str">
        <x:v>D13-F03</x:v>
      </x:c>
      <x:c r="B42" s="27" t="n">
        <x:v>13</x:v>
      </x:c>
      <x:c r="C42" s="27" t="str">
        <x:v>Attach a concise Why this next? panel listing the exact records used and uncertainty when history is thin.</x:v>
      </x:c>
      <x:c r="D42" s="27" t="str">
        <x:v>safety_reliability</x:v>
      </x:c>
      <x:c r="E42" s="27" t="str">
        <x:v>SR-01</x:v>
      </x:c>
      <x:c r="F42" s="27" t="str"/>
      <x:c r="G42" s="27" t="str"/>
      <x:c r="H42" s="27" t="str">
        <x:f>IF(D42="safety_reliability",IF(COUNTIF('Safety Requirements'!$A$5:$A$10,E42)&gt;0,"approved","blocked"),IF(D42="witnessed_task",IF(AND(F42&lt;&gt;"",G42&lt;&gt;""),"review","blocked"),"pending_interviews"))</x:f>
        <x:v>approved</x:v>
      </x:c>
      <x:c r="I42" s="27" t="str">
        <x:v>Protective requirement; validate implementation through tests.</x:v>
      </x:c>
    </x:row>
    <x:row r="43">
      <x:c r="A43" s="27" t="str">
        <x:v>D13-F04</x:v>
      </x:c>
      <x:c r="B43" s="27" t="n">
        <x:v>13</x:v>
      </x:c>
      <x:c r="C43" s="27" t="str">
        <x:v>Let the teacher remove a recommendation source, change priority, or ignore the suggestion before generation.</x:v>
      </x:c>
      <x:c r="D43" s="27" t="str">
        <x:v>safety_reliability</x:v>
      </x:c>
      <x:c r="E43" s="27" t="str">
        <x:v>SR-01</x:v>
      </x:c>
      <x:c r="F43" s="27" t="str"/>
      <x:c r="G43" s="27" t="str"/>
      <x:c r="H43" s="27" t="str">
        <x:f>IF(D43="safety_reliability",IF(COUNTIF('Safety Requirements'!$A$5:$A$10,E43)&gt;0,"approved","blocked"),IF(D43="witnessed_task",IF(AND(F43&lt;&gt;"",G43&lt;&gt;""),"review","blocked"),"pending_interviews"))</x:f>
        <x:v>approved</x:v>
      </x:c>
      <x:c r="I43" s="27" t="str">
        <x:v>Protective requirement; validate implementation through tests.</x:v>
      </x:c>
    </x:row>
    <x:row r="44">
      <x:c r="A44" s="27" t="str">
        <x:v>D13-F05</x:v>
      </x:c>
      <x:c r="B44" s="27" t="n">
        <x:v>13</x:v>
      </x:c>
      <x:c r="C44" s="27" t="str">
        <x:v>Save the plan, link source records, and preserve inputs across repair/retry.</x:v>
      </x:c>
      <x:c r="D44" s="27" t="str">
        <x:v>safety_reliability</x:v>
      </x:c>
      <x:c r="E44" s="27" t="str">
        <x:v>SR-02</x:v>
      </x:c>
      <x:c r="F44" s="27" t="str"/>
      <x:c r="G44" s="27" t="str"/>
      <x:c r="H44" s="27" t="str">
        <x:f>IF(D44="safety_reliability",IF(COUNTIF('Safety Requirements'!$A$5:$A$10,E44)&gt;0,"approved","blocked"),IF(D44="witnessed_task",IF(AND(F44&lt;&gt;"",G44&lt;&gt;""),"review","blocked"),"pending_interviews"))</x:f>
        <x:v>approved</x:v>
      </x:c>
      <x:c r="I44" s="27" t="str">
        <x:v>Protective requirement; validate implementation through tests.</x:v>
      </x:c>
    </x:row>
    <x:row r="45">
      <x:c r="A45" s="27" t="str">
        <x:v>D14-F01</x:v>
      </x:c>
      <x:c r="B45" s="27" t="n">
        <x:v>14</x:v>
      </x:c>
      <x:c r="C45" s="27" t="str">
        <x:v>Run full regression with two Telegram accounts, slow/failed AI, bot restart mid-conversation, long context, missing optional fields, archive/restore, exports, plans, and payment sandbox.</x:v>
      </x:c>
      <x:c r="D45" s="27" t="str">
        <x:v>safety_reliability</x:v>
      </x:c>
      <x:c r="E45" s="27" t="str">
        <x:v>SR-06</x:v>
      </x:c>
      <x:c r="F45" s="27" t="str"/>
      <x:c r="G45" s="27" t="str"/>
      <x:c r="H45" s="27" t="str">
        <x:f>IF(D45="safety_reliability",IF(COUNTIF('Safety Requirements'!$A$5:$A$10,E45)&gt;0,"approved","blocked"),IF(D45="witnessed_task",IF(AND(F45&lt;&gt;"",G45&lt;&gt;""),"review","blocked"),"pending_interviews"))</x:f>
        <x:v>approved</x:v>
      </x:c>
      <x:c r="I45" s="27" t="str">
        <x:v>Protective requirement; validate implementation through tests.</x:v>
      </x:c>
    </x:row>
    <x:row r="46">
      <x:c r="A46" s="27" t="str">
        <x:v>D14-F02</x:v>
      </x:c>
      <x:c r="B46" s="27" t="n">
        <x:v>14</x:v>
      </x:c>
      <x:c r="C46" s="27" t="str">
        <x:v>Observe three target teachers complete the loop without coaching; record screen, time, hesitation, backtracking, and trust questions.</x:v>
      </x:c>
      <x:c r="D46" s="27" t="str">
        <x:v>safety_reliability</x:v>
      </x:c>
      <x:c r="E46" s="27" t="str">
        <x:v>SR-06</x:v>
      </x:c>
      <x:c r="F46" s="27" t="str"/>
      <x:c r="G46" s="27" t="str"/>
      <x:c r="H46" s="27" t="str">
        <x:f>IF(D46="safety_reliability",IF(COUNTIF('Safety Requirements'!$A$5:$A$10,E46)&gt;0,"approved","blocked"),IF(D46="witnessed_task",IF(AND(F46&lt;&gt;"",G46&lt;&gt;""),"review","blocked"),"pending_interviews"))</x:f>
        <x:v>approved</x:v>
      </x:c>
      <x:c r="I46" s="27" t="str">
        <x:v>Protective requirement; validate implementation through tests.</x:v>
      </x:c>
    </x:row>
    <x:row r="47">
      <x:c r="A47" s="27" t="str">
        <x:v>D14-F03</x:v>
      </x:c>
      <x:c r="B47" s="27" t="n">
        <x:v>14</x:v>
      </x:c>
      <x:c r="C47" s="27" t="str">
        <x:v>Run the 40-case AI eval and manually inspect the worst 10 outputs.</x:v>
      </x:c>
      <x:c r="D47" s="27" t="str">
        <x:v>safety_reliability</x:v>
      </x:c>
      <x:c r="E47" s="27" t="str">
        <x:v>SR-06</x:v>
      </x:c>
      <x:c r="F47" s="27" t="str"/>
      <x:c r="G47" s="27" t="str"/>
      <x:c r="H47" s="27" t="str">
        <x:f>IF(D47="safety_reliability",IF(COUNTIF('Safety Requirements'!$A$5:$A$10,E47)&gt;0,"approved","blocked"),IF(D47="witnessed_task",IF(AND(F47&lt;&gt;"",G47&lt;&gt;""),"review","blocked"),"pending_interviews"))</x:f>
        <x:v>approved</x:v>
      </x:c>
      <x:c r="I47" s="27" t="str">
        <x:v>Protective requirement; validate implementation through tests.</x:v>
      </x:c>
    </x:row>
    <x:row r="48">
      <x:c r="A48" s="27" t="str">
        <x:v>D14-F04</x:v>
      </x:c>
      <x:c r="B48" s="27" t="n">
        <x:v>14</x:v>
      </x:c>
      <x:c r="C48" s="27" t="str">
        <x:v>Fix only blockers and repeated friction; simplify copy and button order before adding capability.</x:v>
      </x:c>
      <x:c r="D48" s="27" t="str">
        <x:v>safety_reliability</x:v>
      </x:c>
      <x:c r="E48" s="27" t="str">
        <x:v>SR-06</x:v>
      </x:c>
      <x:c r="F48" s="27" t="str"/>
      <x:c r="G48" s="27" t="str"/>
      <x:c r="H48" s="27" t="str">
        <x:f>IF(D48="safety_reliability",IF(COUNTIF('Safety Requirements'!$A$5:$A$10,E48)&gt;0,"approved","blocked"),IF(D48="witnessed_task",IF(AND(F48&lt;&gt;"",G48&lt;&gt;""),"review","blocked"),"pending_interviews"))</x:f>
        <x:v>approved</x:v>
      </x:c>
      <x:c r="I48" s="27" t="str">
        <x:v>Protective requirement; validate implementation through tests.</x:v>
      </x:c>
    </x:row>
    <x:row r="49">
      <x:c r="A49" s="27" t="str">
        <x:v>D14-F05</x:v>
      </x:c>
      <x:c r="B49" s="27" t="n">
        <x:v>14</x:v>
      </x:c>
      <x:c r="C49" s="27" t="str">
        <x:v>Back up and tag the Phase 2 candidate if all gates pass.</x:v>
      </x:c>
      <x:c r="D49" s="27" t="str">
        <x:v>safety_reliability</x:v>
      </x:c>
      <x:c r="E49" s="27" t="str">
        <x:v>SR-06</x:v>
      </x:c>
      <x:c r="F49" s="27" t="str"/>
      <x:c r="G49" s="27" t="str"/>
      <x:c r="H49" s="27" t="str">
        <x:f>IF(D49="safety_reliability",IF(COUNTIF('Safety Requirements'!$A$5:$A$10,E49)&gt;0,"approved","blocked"),IF(D49="witnessed_task",IF(AND(F49&lt;&gt;"",G49&lt;&gt;""),"review","blocked"),"pending_interviews"))</x:f>
        <x:v>approved</x:v>
      </x:c>
      <x:c r="I49" s="27" t="str">
        <x:v>Protective requirement; validate implementation through tests.</x:v>
      </x:c>
    </x:row>
    <x:row r="50">
      <x:c r="A50" s="27" t="str">
        <x:v>D15-F01</x:v>
      </x:c>
      <x:c r="B50" s="27" t="n">
        <x:v>15</x:v>
      </x:c>
      <x:c r="C50" s="27" t="str">
        <x:v>Support pasted text, Telegram text, .txt, and .docx only; defer OCR and audio until extraction and consent are reliable.</x:v>
      </x:c>
      <x:c r="D50" s="27" t="str">
        <x:v>hypothesis</x:v>
      </x:c>
      <x:c r="E50" s="27" t="str">
        <x:v>JH-08</x:v>
      </x:c>
      <x:c r="F50" s="27" t="str"/>
      <x:c r="G50" s="27" t="str"/>
      <x:c r="H50" s="27" t="str">
        <x:f>IF(D50="safety_reliability",IF(COUNTIF('Safety Requirements'!$A$5:$A$10,E50)&gt;0,"approved","blocked"),IF(D50="witnessed_task",IF(AND(F50&lt;&gt;"",G50&lt;&gt;""),"review","blocked"),"pending_interviews"))</x:f>
        <x:v>pending_interviews</x:v>
      </x:c>
      <x:c r="I50" s="27" t="str">
        <x:v>Do not build from this hypothesis until interview evidence is linked.</x:v>
      </x:c>
    </x:row>
    <x:row r="51">
      <x:c r="A51" s="27" t="str">
        <x:v>D15-F02</x:v>
      </x:c>
      <x:c r="B51" s="27" t="n">
        <x:v>15</x:v>
      </x:c>
      <x:c r="C51" s="27" t="str">
        <x:v>Collect class, evidence type, optional objective/lesson, anonymous student labels, and a privacy confirmation.</x:v>
      </x:c>
      <x:c r="D51" s="27" t="str">
        <x:v>safety_reliability</x:v>
      </x:c>
      <x:c r="E51" s="27" t="str">
        <x:v>SR-01</x:v>
      </x:c>
      <x:c r="F51" s="27" t="str"/>
      <x:c r="G51" s="27" t="str"/>
      <x:c r="H51" s="27" t="str">
        <x:f>IF(D51="safety_reliability",IF(COUNTIF('Safety Requirements'!$A$5:$A$10,E51)&gt;0,"approved","blocked"),IF(D51="witnessed_task",IF(AND(F51&lt;&gt;"",G51&lt;&gt;""),"review","blocked"),"pending_interviews"))</x:f>
        <x:v>approved</x:v>
      </x:c>
      <x:c r="I51" s="27" t="str">
        <x:v>Protective requirement; validate implementation through tests.</x:v>
      </x:c>
    </x:row>
    <x:row r="52">
      <x:c r="A52" s="27" t="str">
        <x:v>D15-F03</x:v>
      </x:c>
      <x:c r="B52" s="27" t="n">
        <x:v>15</x:v>
      </x:c>
      <x:c r="C52" s="27" t="str">
        <x:v>Validate MIME/type/size, sanitize filenames, strip metadata where possible, cap batch size, normalize separators, and treat file content as untrusted.</x:v>
      </x:c>
      <x:c r="D52" s="27" t="str">
        <x:v>safety_reliability</x:v>
      </x:c>
      <x:c r="E52" s="27" t="str">
        <x:v>SR-01</x:v>
      </x:c>
      <x:c r="F52" s="27" t="str"/>
      <x:c r="G52" s="27" t="str"/>
      <x:c r="H52" s="27" t="str">
        <x:f>IF(D52="safety_reliability",IF(COUNTIF('Safety Requirements'!$A$5:$A$10,E52)&gt;0,"approved","blocked"),IF(D52="witnessed_task",IF(AND(F52&lt;&gt;"",G52&lt;&gt;""),"review","blocked"),"pending_interviews"))</x:f>
        <x:v>approved</x:v>
      </x:c>
      <x:c r="I52" s="27" t="str">
        <x:v>Protective requirement; validate implementation through tests.</x:v>
      </x:c>
    </x:row>
    <x:row r="53">
      <x:c r="A53" s="27" t="str">
        <x:v>D15-F04</x:v>
      </x:c>
      <x:c r="B53" s="27" t="n">
        <x:v>15</x:v>
      </x:c>
      <x:c r="C53" s="27" t="str">
        <x:v>Create evidence_batches and evidence_items with owner, retention choice, status, and deletion timestamps.</x:v>
      </x:c>
      <x:c r="D53" s="27" t="str">
        <x:v>safety_reliability</x:v>
      </x:c>
      <x:c r="E53" s="27" t="str">
        <x:v>SR-01</x:v>
      </x:c>
      <x:c r="F53" s="27" t="str"/>
      <x:c r="G53" s="27" t="str"/>
      <x:c r="H53" s="27" t="str">
        <x:f>IF(D53="safety_reliability",IF(COUNTIF('Safety Requirements'!$A$5:$A$10,E53)&gt;0,"approved","blocked"),IF(D53="witnessed_task",IF(AND(F53&lt;&gt;"",G53&lt;&gt;""),"review","blocked"),"pending_interviews"))</x:f>
        <x:v>approved</x:v>
      </x:c>
      <x:c r="I53" s="27" t="str">
        <x:v>Protective requirement; validate implementation through tests.</x:v>
      </x:c>
    </x:row>
    <x:row r="54">
      <x:c r="A54" s="27" t="str">
        <x:v>D15-F05</x:v>
      </x:c>
      <x:c r="B54" s="27" t="n">
        <x:v>15</x:v>
      </x:c>
      <x:c r="C54" s="27" t="str">
        <x:v>Never put raw evidence in application logs, analytics, crash messages, backups beyond policy, or model prompts when a summary is sufficient.</x:v>
      </x:c>
      <x:c r="D54" s="27" t="str">
        <x:v>safety_reliability</x:v>
      </x:c>
      <x:c r="E54" s="27" t="str">
        <x:v>SR-01</x:v>
      </x:c>
      <x:c r="F54" s="27" t="str"/>
      <x:c r="G54" s="27" t="str"/>
      <x:c r="H54" s="27" t="str">
        <x:f>IF(D54="safety_reliability",IF(COUNTIF('Safety Requirements'!$A$5:$A$10,E54)&gt;0,"approved","blocked"),IF(D54="witnessed_task",IF(AND(F54&lt;&gt;"",G54&lt;&gt;""),"review","blocked"),"pending_interviews"))</x:f>
        <x:v>approved</x:v>
      </x:c>
      <x:c r="I54" s="27" t="str">
        <x:v>Protective requirement; validate implementation through tests.</x:v>
      </x:c>
    </x:row>
    <x:row r="55">
      <x:c r="A55" s="27" t="str">
        <x:v>D16-F01</x:v>
      </x:c>
      <x:c r="B55" s="27" t="n">
        <x:v>16</x:v>
      </x:c>
      <x:c r="C55" s="27" t="str">
        <x:v>Return response count, strengths, common errors, likely misconceptions, frequency bands, supporting examples, next priorities, and optional temporary groups.</x:v>
      </x:c>
      <x:c r="D55" s="27" t="str">
        <x:v>hypothesis</x:v>
      </x:c>
      <x:c r="E55" s="27" t="str">
        <x:v>JH-09</x:v>
      </x:c>
      <x:c r="F55" s="27" t="str"/>
      <x:c r="G55" s="27" t="str"/>
      <x:c r="H55" s="27" t="str">
        <x:f>IF(D55="safety_reliability",IF(COUNTIF('Safety Requirements'!$A$5:$A$10,E55)&gt;0,"approved","blocked"),IF(D55="witnessed_task",IF(AND(F55&lt;&gt;"",G55&lt;&gt;""),"review","blocked"),"pending_interviews"))</x:f>
        <x:v>pending_interviews</x:v>
      </x:c>
      <x:c r="I55" s="27" t="str">
        <x:v>Do not build from this hypothesis until interview evidence is linked.</x:v>
      </x:c>
    </x:row>
    <x:row r="56">
      <x:c r="A56" s="27" t="str">
        <x:v>D16-F02</x:v>
      </x:c>
      <x:c r="B56" s="27" t="n">
        <x:v>16</x:v>
      </x:c>
      <x:c r="C56" s="27" t="str">
        <x:v>Require every finding to reference one or more evidence item IDs; show limited-evidence and uncertainty labels.</x:v>
      </x:c>
      <x:c r="D56" s="27" t="str">
        <x:v>safety_reliability</x:v>
      </x:c>
      <x:c r="E56" s="27" t="str">
        <x:v>SR-05</x:v>
      </x:c>
      <x:c r="F56" s="27" t="str"/>
      <x:c r="G56" s="27" t="str"/>
      <x:c r="H56" s="27" t="str">
        <x:f>IF(D56="safety_reliability",IF(COUNTIF('Safety Requirements'!$A$5:$A$10,E56)&gt;0,"approved","blocked"),IF(D56="witnessed_task",IF(AND(F56&lt;&gt;"",G56&lt;&gt;""),"review","blocked"),"pending_interviews"))</x:f>
        <x:v>approved</x:v>
      </x:c>
      <x:c r="I56" s="27" t="str">
        <x:v>Protective requirement; validate implementation through tests.</x:v>
      </x:c>
    </x:row>
    <x:row r="57">
      <x:c r="A57" s="27" t="str">
        <x:v>D16-F03</x:v>
      </x:c>
      <x:c r="B57" s="27" t="n">
        <x:v>16</x:v>
      </x:c>
      <x:c r="C57" s="27" t="str">
        <x:v>Use counts when deterministically available; do not let the model invent exact percentages.</x:v>
      </x:c>
      <x:c r="D57" s="27" t="str">
        <x:v>safety_reliability</x:v>
      </x:c>
      <x:c r="E57" s="27" t="str">
        <x:v>SR-05</x:v>
      </x:c>
      <x:c r="F57" s="27" t="str"/>
      <x:c r="G57" s="27" t="str"/>
      <x:c r="H57" s="27" t="str">
        <x:f>IF(D57="safety_reliability",IF(COUNTIF('Safety Requirements'!$A$5:$A$10,E57)&gt;0,"approved","blocked"),IF(D57="witnessed_task",IF(AND(F57&lt;&gt;"",G57&lt;&gt;""),"review","blocked"),"pending_interviews"))</x:f>
        <x:v>approved</x:v>
      </x:c>
      <x:c r="I57" s="27" t="str">
        <x:v>Protective requirement; validate implementation through tests.</x:v>
      </x:c>
    </x:row>
    <x:row r="58">
      <x:c r="A58" s="27" t="str">
        <x:v>D16-F04</x:v>
      </x:c>
      <x:c r="B58" s="27" t="n">
        <x:v>16</x:v>
      </x:c>
      <x:c r="C58" s="27" t="str">
        <x:v>Let teachers edit, reject, approve, or rerun a finding. Store an approved summary separately from raw text.</x:v>
      </x:c>
      <x:c r="D58" s="27" t="str">
        <x:v>safety_reliability</x:v>
      </x:c>
      <x:c r="E58" s="27" t="str">
        <x:v>SR-01</x:v>
      </x:c>
      <x:c r="F58" s="27" t="str"/>
      <x:c r="G58" s="27" t="str"/>
      <x:c r="H58" s="27" t="str">
        <x:f>IF(D58="safety_reliability",IF(COUNTIF('Safety Requirements'!$A$5:$A$10,E58)&gt;0,"approved","blocked"),IF(D58="witnessed_task",IF(AND(F58&lt;&gt;"",G58&lt;&gt;""),"review","blocked"),"pending_interviews"))</x:f>
        <x:v>approved</x:v>
      </x:c>
      <x:c r="I58" s="27" t="str">
        <x:v>Protective requirement; validate implementation through tests.</x:v>
      </x:c>
    </x:row>
    <x:row r="59">
      <x:c r="A59" s="27" t="str">
        <x:v>D16-F05</x:v>
      </x:c>
      <x:c r="B59" s="27" t="n">
        <x:v>16</x:v>
      </x:c>
      <x:c r="C59" s="27" t="str">
        <x:v>Add adversarial tests for embedded instructions, mixed languages, duplicates, contradictory answers, and too-small samples.</x:v>
      </x:c>
      <x:c r="D59" s="27" t="str">
        <x:v>safety_reliability</x:v>
      </x:c>
      <x:c r="E59" s="27" t="str">
        <x:v>SR-05</x:v>
      </x:c>
      <x:c r="F59" s="27" t="str"/>
      <x:c r="G59" s="27" t="str"/>
      <x:c r="H59" s="27" t="str">
        <x:f>IF(D59="safety_reliability",IF(COUNTIF('Safety Requirements'!$A$5:$A$10,E59)&gt;0,"approved","blocked"),IF(D59="witnessed_task",IF(AND(F59&lt;&gt;"",G59&lt;&gt;""),"review","blocked"),"pending_interviews"))</x:f>
        <x:v>approved</x:v>
      </x:c>
      <x:c r="I59" s="27" t="str">
        <x:v>Protective requirement; validate implementation through tests.</x:v>
      </x:c>
    </x:row>
    <x:row r="60">
      <x:c r="A60" s="27" t="str">
        <x:v>D17-F01</x:v>
      </x:c>
      <x:c r="B60" s="27" t="n">
        <x:v>17</x:v>
      </x:c>
      <x:c r="C60" s="27" t="str">
        <x:v>Inputs: class context, student writing, optional task/rubric, and light/balanced/detailed/rubric mode.</x:v>
      </x:c>
      <x:c r="D60" s="27" t="str">
        <x:v>hypothesis</x:v>
      </x:c>
      <x:c r="E60" s="27" t="str">
        <x:v>JH-10</x:v>
      </x:c>
      <x:c r="F60" s="27" t="str"/>
      <x:c r="G60" s="27" t="str"/>
      <x:c r="H60" s="27" t="str">
        <x:f>IF(D60="safety_reliability",IF(COUNTIF('Safety Requirements'!$A$5:$A$10,E60)&gt;0,"approved","blocked"),IF(D60="witnessed_task",IF(AND(F60&lt;&gt;"",G60&lt;&gt;""),"review","blocked"),"pending_interviews"))</x:f>
        <x:v>pending_interviews</x:v>
      </x:c>
      <x:c r="I60" s="27" t="str">
        <x:v>Do not build from this hypothesis until interview evidence is linked.</x:v>
      </x:c>
    </x:row>
    <x:row r="61">
      <x:c r="A61" s="27" t="str">
        <x:v>D17-F02</x:v>
      </x:c>
      <x:c r="B61" s="27" t="n">
        <x:v>17</x:v>
      </x:c>
      <x:c r="C61" s="27" t="str">
        <x:v>Output strengths first, task achievement, up to three priorities, categorized examples, editable teacher comments, and one revision task.</x:v>
      </x:c>
      <x:c r="D61" s="27" t="str">
        <x:v>hypothesis</x:v>
      </x:c>
      <x:c r="E61" s="27" t="str">
        <x:v>JH-10</x:v>
      </x:c>
      <x:c r="F61" s="27" t="str"/>
      <x:c r="G61" s="27" t="str"/>
      <x:c r="H61" s="27" t="str">
        <x:f>IF(D61="safety_reliability",IF(COUNTIF('Safety Requirements'!$A$5:$A$10,E61)&gt;0,"approved","blocked"),IF(D61="witnessed_task",IF(AND(F61&lt;&gt;"",G61&lt;&gt;""),"review","blocked"),"pending_interviews"))</x:f>
        <x:v>pending_interviews</x:v>
      </x:c>
      <x:c r="I61" s="27" t="str">
        <x:v>Do not build from this hypothesis until interview evidence is linked.</x:v>
      </x:c>
    </x:row>
    <x:row r="62">
      <x:c r="A62" s="27" t="str">
        <x:v>D17-F03</x:v>
      </x:c>
      <x:c r="B62" s="27" t="n">
        <x:v>17</x:v>
      </x:c>
      <x:c r="C62" s="27" t="str">
        <x:v>Do not rewrite the whole text by default; separate correction from suggestion and feedback from grades.</x:v>
      </x:c>
      <x:c r="D62" s="27" t="str">
        <x:v>safety_reliability</x:v>
      </x:c>
      <x:c r="E62" s="27" t="str">
        <x:v>SR-05</x:v>
      </x:c>
      <x:c r="F62" s="27" t="str"/>
      <x:c r="G62" s="27" t="str"/>
      <x:c r="H62" s="27" t="str">
        <x:f>IF(D62="safety_reliability",IF(COUNTIF('Safety Requirements'!$A$5:$A$10,E62)&gt;0,"approved","blocked"),IF(D62="witnessed_task",IF(AND(F62&lt;&gt;"",G62&lt;&gt;""),"review","blocked"),"pending_interviews"))</x:f>
        <x:v>approved</x:v>
      </x:c>
      <x:c r="I62" s="27" t="str">
        <x:v>Protective requirement; validate implementation through tests.</x:v>
      </x:c>
    </x:row>
    <x:row r="63">
      <x:c r="A63" s="27" t="str">
        <x:v>D17-F04</x:v>
      </x:c>
      <x:c r="B63" s="27" t="n">
        <x:v>17</x:v>
      </x:c>
      <x:c r="C63" s="27" t="str">
        <x:v>Require a teacher-provided rubric for scoring and label any score as a draft requiring teacher confirmation.</x:v>
      </x:c>
      <x:c r="D63" s="27" t="str">
        <x:v>safety_reliability</x:v>
      </x:c>
      <x:c r="E63" s="27" t="str">
        <x:v>SR-01</x:v>
      </x:c>
      <x:c r="F63" s="27" t="str"/>
      <x:c r="G63" s="27" t="str"/>
      <x:c r="H63" s="27" t="str">
        <x:f>IF(D63="safety_reliability",IF(COUNTIF('Safety Requirements'!$A$5:$A$10,E63)&gt;0,"approved","blocked"),IF(D63="witnessed_task",IF(AND(F63&lt;&gt;"",G63&lt;&gt;""),"review","blocked"),"pending_interviews"))</x:f>
        <x:v>approved</x:v>
      </x:c>
      <x:c r="I63" s="27" t="str">
        <x:v>Protective requirement; validate implementation through tests.</x:v>
      </x:c>
    </x:row>
    <x:row r="64">
      <x:c r="A64" s="27" t="str">
        <x:v>D17-F05</x:v>
      </x:c>
      <x:c r="B64" s="27" t="n">
        <x:v>17</x:v>
      </x:c>
      <x:c r="C64" s="27" t="str">
        <x:v>Export an annotated teacher copy and a clean student feedback copy without exposing class analytics.</x:v>
      </x:c>
      <x:c r="D64" s="27" t="str">
        <x:v>safety_reliability</x:v>
      </x:c>
      <x:c r="E64" s="27" t="str">
        <x:v>SR-01</x:v>
      </x:c>
      <x:c r="F64" s="27" t="str"/>
      <x:c r="G64" s="27" t="str"/>
      <x:c r="H64" s="27" t="str">
        <x:f>IF(D64="safety_reliability",IF(COUNTIF('Safety Requirements'!$A$5:$A$10,E64)&gt;0,"approved","blocked"),IF(D64="witnessed_task",IF(AND(F64&lt;&gt;"",G64&lt;&gt;""),"review","blocked"),"pending_interviews"))</x:f>
        <x:v>approved</x:v>
      </x:c>
      <x:c r="I64" s="27" t="str">
        <x:v>Protective requirement; validate implementation through tests.</x:v>
      </x:c>
    </x:row>
    <x:row r="65">
      <x:c r="A65" s="27" t="str">
        <x:v>D18-F01</x:v>
      </x:c>
      <x:c r="B65" s="27" t="n">
        <x:v>18</x:v>
      </x:c>
      <x:c r="C65" s="27" t="str">
        <x:v>Offer reteaching lesson, targeted worksheet, differentiated practice, temporary group activity, reassessment, and homework.</x:v>
      </x:c>
      <x:c r="D65" s="27" t="str">
        <x:v>hypothesis</x:v>
      </x:c>
      <x:c r="E65" s="27" t="str">
        <x:v>JH-11</x:v>
      </x:c>
      <x:c r="F65" s="27" t="str"/>
      <x:c r="G65" s="27" t="str"/>
      <x:c r="H65" s="27" t="str">
        <x:f>IF(D65="safety_reliability",IF(COUNTIF('Safety Requirements'!$A$5:$A$10,E65)&gt;0,"approved","blocked"),IF(D65="witnessed_task",IF(AND(F65&lt;&gt;"",G65&lt;&gt;""),"review","blocked"),"pending_interviews"))</x:f>
        <x:v>pending_interviews</x:v>
      </x:c>
      <x:c r="I65" s="27" t="str">
        <x:v>Do not build from this hypothesis until interview evidence is linked.</x:v>
      </x:c>
    </x:row>
    <x:row r="66">
      <x:c r="A66" s="27" t="str">
        <x:v>D18-F02</x:v>
      </x:c>
      <x:c r="B66" s="27" t="n">
        <x:v>18</x:v>
      </x:c>
      <x:c r="C66" s="27" t="str">
        <x:v>Use only approved findings plus class profile, current unit, objectives, equipment, and time available.</x:v>
      </x:c>
      <x:c r="D66" s="27" t="str">
        <x:v>safety_reliability</x:v>
      </x:c>
      <x:c r="E66" s="27" t="str">
        <x:v>SR-01</x:v>
      </x:c>
      <x:c r="F66" s="27" t="str"/>
      <x:c r="G66" s="27" t="str"/>
      <x:c r="H66" s="27" t="str">
        <x:f>IF(D66="safety_reliability",IF(COUNTIF('Safety Requirements'!$A$5:$A$10,E66)&gt;0,"approved","blocked"),IF(D66="witnessed_task",IF(AND(F66&lt;&gt;"",G66&lt;&gt;""),"review","blocked"),"pending_interviews"))</x:f>
        <x:v>approved</x:v>
      </x:c>
      <x:c r="I66" s="27" t="str">
        <x:v>Protective requirement; validate implementation through tests.</x:v>
      </x:c>
    </x:row>
    <x:row r="67">
      <x:c r="A67" s="27" t="str">
        <x:v>D18-F03</x:v>
      </x:c>
      <x:c r="B67" s="27" t="n">
        <x:v>18</x:v>
      </x:c>
      <x:c r="C67" s="27" t="str">
        <x:v>Show What this addresses with evidence/analysis IDs and preserve that link in the saved material.</x:v>
      </x:c>
      <x:c r="D67" s="27" t="str">
        <x:v>safety_reliability</x:v>
      </x:c>
      <x:c r="E67" s="27" t="str">
        <x:v>SR-05</x:v>
      </x:c>
      <x:c r="F67" s="27" t="str"/>
      <x:c r="G67" s="27" t="str"/>
      <x:c r="H67" s="27" t="str">
        <x:f>IF(D67="safety_reliability",IF(COUNTIF('Safety Requirements'!$A$5:$A$10,E67)&gt;0,"approved","blocked"),IF(D67="witnessed_task",IF(AND(F67&lt;&gt;"",G67&lt;&gt;""),"review","blocked"),"pending_interviews"))</x:f>
        <x:v>approved</x:v>
      </x:c>
      <x:c r="I67" s="27" t="str">
        <x:v>Protective requirement; validate implementation through tests.</x:v>
      </x:c>
    </x:row>
    <x:row r="68">
      <x:c r="A68" s="27" t="str">
        <x:v>D18-F04</x:v>
      </x:c>
      <x:c r="B68" s="27" t="n">
        <x:v>18</x:v>
      </x:c>
      <x:c r="C68" s="27" t="str">
        <x:v>Add a compact teacher choice for focus, time, and format; reuse known class data.</x:v>
      </x:c>
      <x:c r="D68" s="27" t="str">
        <x:v>hypothesis</x:v>
      </x:c>
      <x:c r="E68" s="27" t="str">
        <x:v>JH-11</x:v>
      </x:c>
      <x:c r="F68" s="27" t="str"/>
      <x:c r="G68" s="27" t="str"/>
      <x:c r="H68" s="27" t="str">
        <x:f>IF(D68="safety_reliability",IF(COUNTIF('Safety Requirements'!$A$5:$A$10,E68)&gt;0,"approved","blocked"),IF(D68="witnessed_task",IF(AND(F68&lt;&gt;"",G68&lt;&gt;""),"review","blocked"),"pending_interviews"))</x:f>
        <x:v>pending_interviews</x:v>
      </x:c>
      <x:c r="I68" s="27" t="str">
        <x:v>Do not build from this hypothesis until interview evidence is linked.</x:v>
      </x:c>
    </x:row>
    <x:row r="69">
      <x:c r="A69" s="27" t="str">
        <x:v>D18-F05</x:v>
      </x:c>
      <x:c r="B69" s="27" t="n">
        <x:v>18</x:v>
      </x:c>
      <x:c r="C69" s="27" t="str">
        <x:v>Validate that answer keys, examples, and assessment items match the diagnosed issue rather than merely the topic.</x:v>
      </x:c>
      <x:c r="D69" s="27" t="str">
        <x:v>safety_reliability</x:v>
      </x:c>
      <x:c r="E69" s="27" t="str">
        <x:v>SR-05</x:v>
      </x:c>
      <x:c r="F69" s="27" t="str"/>
      <x:c r="G69" s="27" t="str"/>
      <x:c r="H69" s="27" t="str">
        <x:f>IF(D69="safety_reliability",IF(COUNTIF('Safety Requirements'!$A$5:$A$10,E69)&gt;0,"approved","blocked"),IF(D69="witnessed_task",IF(AND(F69&lt;&gt;"",G69&lt;&gt;""),"review","blocked"),"pending_interviews"))</x:f>
        <x:v>approved</x:v>
      </x:c>
      <x:c r="I69" s="27" t="str">
        <x:v>Protective requirement; validate implementation through tests.</x:v>
      </x:c>
    </x:row>
    <x:row r="70">
      <x:c r="A70" s="27" t="str">
        <x:v>D19-F01</x:v>
      </x:c>
      <x:c r="B70" s="27" t="n">
        <x:v>19</x:v>
      </x:c>
      <x:c r="C70" s="27" t="str">
        <x:v>Support reduces barriers with examples, word banks, sentence frames, smaller steps, and reduced load without lowering the objective.</x:v>
      </x:c>
      <x:c r="D70" s="27" t="str">
        <x:v>hypothesis</x:v>
      </x:c>
      <x:c r="E70" s="27" t="str">
        <x:v>JH-12</x:v>
      </x:c>
      <x:c r="F70" s="27" t="str"/>
      <x:c r="G70" s="27" t="str"/>
      <x:c r="H70" s="27" t="str">
        <x:f>IF(D70="safety_reliability",IF(COUNTIF('Safety Requirements'!$A$5:$A$10,E70)&gt;0,"approved","blocked"),IF(D70="witnessed_task",IF(AND(F70&lt;&gt;"",G70&lt;&gt;""),"review","blocked"),"pending_interviews"))</x:f>
        <x:v>pending_interviews</x:v>
      </x:c>
      <x:c r="I70" s="27" t="str">
        <x:v>Do not build from this hypothesis until interview evidence is linked.</x:v>
      </x:c>
    </x:row>
    <x:row r="71">
      <x:c r="A71" s="27" t="str">
        <x:v>D19-F02</x:v>
      </x:c>
      <x:c r="B71" s="27" t="n">
        <x:v>19</x:v>
      </x:c>
      <x:c r="C71" s="27" t="str">
        <x:v>Core represents expected performance; Challenge adds independence, complexity, reasoning, or transfer—not busywork.</x:v>
      </x:c>
      <x:c r="D71" s="27" t="str">
        <x:v>hypothesis</x:v>
      </x:c>
      <x:c r="E71" s="27" t="str">
        <x:v>JH-12</x:v>
      </x:c>
      <x:c r="F71" s="27" t="str"/>
      <x:c r="G71" s="27" t="str"/>
      <x:c r="H71" s="27" t="str">
        <x:f>IF(D71="safety_reliability",IF(COUNTIF('Safety Requirements'!$A$5:$A$10,E71)&gt;0,"approved","blocked"),IF(D71="witnessed_task",IF(AND(F71&lt;&gt;"",G71&lt;&gt;""),"review","blocked"),"pending_interviews"))</x:f>
        <x:v>pending_interviews</x:v>
      </x:c>
      <x:c r="I71" s="27" t="str">
        <x:v>Do not build from this hypothesis until interview evidence is linked.</x:v>
      </x:c>
    </x:row>
    <x:row r="72">
      <x:c r="A72" s="27" t="str">
        <x:v>D19-F03</x:v>
      </x:c>
      <x:c r="B72" s="27" t="n">
        <x:v>19</x:v>
      </x:c>
      <x:c r="C72" s="27" t="str">
        <x:v>Include discreet distribution, grouping, monitoring, and whole-class reconnection guidance.</x:v>
      </x:c>
      <x:c r="D72" s="27" t="str">
        <x:v>hypothesis</x:v>
      </x:c>
      <x:c r="E72" s="27" t="str">
        <x:v>JH-12</x:v>
      </x:c>
      <x:c r="F72" s="27" t="str"/>
      <x:c r="G72" s="27" t="str"/>
      <x:c r="H72" s="27" t="str">
        <x:f>IF(D72="safety_reliability",IF(COUNTIF('Safety Requirements'!$A$5:$A$10,E72)&gt;0,"approved","blocked"),IF(D72="witnessed_task",IF(AND(F72&lt;&gt;"",G72&lt;&gt;""),"review","blocked"),"pending_interviews"))</x:f>
        <x:v>pending_interviews</x:v>
      </x:c>
      <x:c r="I72" s="27" t="str">
        <x:v>Do not build from this hypothesis until interview evidence is linked.</x:v>
      </x:c>
    </x:row>
    <x:row r="73">
      <x:c r="A73" s="27" t="str">
        <x:v>D19-F04</x:v>
      </x:c>
      <x:c r="B73" s="27" t="n">
        <x:v>19</x:v>
      </x:c>
      <x:c r="C73" s="27" t="str">
        <x:v>Add linked adaptations: shorter, +15 minutes, fast finisher, easier, harder, no-tech, large-class, more communicative, and more exam-focused.</x:v>
      </x:c>
      <x:c r="D73" s="27" t="str">
        <x:v>hypothesis</x:v>
      </x:c>
      <x:c r="E73" s="27" t="str">
        <x:v>JH-12</x:v>
      </x:c>
      <x:c r="F73" s="27" t="str"/>
      <x:c r="G73" s="27" t="str"/>
      <x:c r="H73" s="27" t="str">
        <x:f>IF(D73="safety_reliability",IF(COUNTIF('Safety Requirements'!$A$5:$A$10,E73)&gt;0,"approved","blocked"),IF(D73="witnessed_task",IF(AND(F73&lt;&gt;"",G73&lt;&gt;""),"review","blocked"),"pending_interviews"))</x:f>
        <x:v>pending_interviews</x:v>
      </x:c>
      <x:c r="I73" s="27" t="str">
        <x:v>Do not build from this hypothesis until interview evidence is linked.</x:v>
      </x:c>
    </x:row>
    <x:row r="74">
      <x:c r="A74" s="27" t="str">
        <x:v>D19-F05</x:v>
      </x:c>
      <x:c r="B74" s="27" t="n">
        <x:v>19</x:v>
      </x:c>
      <x:c r="C74" s="27" t="str">
        <x:v>Preserve the original, explain changes, and verify class/equipment constraints.</x:v>
      </x:c>
      <x:c r="D74" s="27" t="str">
        <x:v>safety_reliability</x:v>
      </x:c>
      <x:c r="E74" s="27" t="str">
        <x:v>SR-05</x:v>
      </x:c>
      <x:c r="F74" s="27" t="str"/>
      <x:c r="G74" s="27" t="str"/>
      <x:c r="H74" s="27" t="str">
        <x:f>IF(D74="safety_reliability",IF(COUNTIF('Safety Requirements'!$A$5:$A$10,E74)&gt;0,"approved","blocked"),IF(D74="witnessed_task",IF(AND(F74&lt;&gt;"",G74&lt;&gt;""),"review","blocked"),"pending_interviews"))</x:f>
        <x:v>approved</x:v>
      </x:c>
      <x:c r="I74" s="27" t="str">
        <x:v>Protective requirement; validate implementation through tests.</x:v>
      </x:c>
    </x:row>
    <x:row r="75">
      <x:c r="A75" s="27" t="str">
        <x:v>D20-F01</x:v>
      </x:c>
      <x:c r="B75" s="27" t="n">
        <x:v>20</x:v>
      </x:c>
      <x:c r="C75" s="27" t="str">
        <x:v>Allow approved vocabulary, grammar, pronunciation, functional language, common errors, and exam strategies into a review queue.</x:v>
      </x:c>
      <x:c r="D75" s="27" t="str">
        <x:v>hypothesis</x:v>
      </x:c>
      <x:c r="E75" s="27" t="str">
        <x:v>JH-13</x:v>
      </x:c>
      <x:c r="F75" s="27" t="str"/>
      <x:c r="G75" s="27" t="str"/>
      <x:c r="H75" s="27" t="str">
        <x:f>IF(D75="safety_reliability",IF(COUNTIF('Safety Requirements'!$A$5:$A$10,E75)&gt;0,"approved","blocked"),IF(D75="witnessed_task",IF(AND(F75&lt;&gt;"",G75&lt;&gt;""),"review","blocked"),"pending_interviews"))</x:f>
        <x:v>pending_interviews</x:v>
      </x:c>
      <x:c r="I75" s="27" t="str">
        <x:v>Do not build from this hypothesis until interview evidence is linked.</x:v>
      </x:c>
    </x:row>
    <x:row r="76">
      <x:c r="A76" s="27" t="str">
        <x:v>D20-F02</x:v>
      </x:c>
      <x:c r="B76" s="27" t="n">
        <x:v>20</x:v>
      </x:c>
      <x:c r="C76" s="27" t="str">
        <x:v>Start with configurable intervals such as 2, 7, 21, and 45 days; make the schedule visible and editable.</x:v>
      </x:c>
      <x:c r="D76" s="27" t="str">
        <x:v>safety_reliability</x:v>
      </x:c>
      <x:c r="E76" s="27" t="str">
        <x:v>SR-03</x:v>
      </x:c>
      <x:c r="F76" s="27" t="str"/>
      <x:c r="G76" s="27" t="str"/>
      <x:c r="H76" s="27" t="str">
        <x:f>IF(D76="safety_reliability",IF(COUNTIF('Safety Requirements'!$A$5:$A$10,E76)&gt;0,"approved","blocked"),IF(D76="witnessed_task",IF(AND(F76&lt;&gt;"",G76&lt;&gt;""),"review","blocked"),"pending_interviews"))</x:f>
        <x:v>approved</x:v>
      </x:c>
      <x:c r="I76" s="27" t="str">
        <x:v>Protective requirement; validate implementation through tests.</x:v>
      </x:c>
    </x:row>
    <x:row r="77">
      <x:c r="A77" s="27" t="str">
        <x:v>D20-F03</x:v>
      </x:c>
      <x:c r="B77" s="27" t="n">
        <x:v>20</x:v>
      </x:c>
      <x:c r="C77" s="27" t="str">
        <x:v>Track introduced, last reviewed, next review, confidence, source, status, and teacher override.</x:v>
      </x:c>
      <x:c r="D77" s="27" t="str">
        <x:v>safety_reliability</x:v>
      </x:c>
      <x:c r="E77" s="27" t="str">
        <x:v>SR-01</x:v>
      </x:c>
      <x:c r="F77" s="27" t="str"/>
      <x:c r="G77" s="27" t="str"/>
      <x:c r="H77" s="27" t="str">
        <x:f>IF(D77="safety_reliability",IF(COUNTIF('Safety Requirements'!$A$5:$A$10,E77)&gt;0,"approved","blocked"),IF(D77="witnessed_task",IF(AND(F77&lt;&gt;"",G77&lt;&gt;""),"review","blocked"),"pending_interviews"))</x:f>
        <x:v>approved</x:v>
      </x:c>
      <x:c r="I77" s="27" t="str">
        <x:v>Protective requirement; validate implementation through tests.</x:v>
      </x:c>
    </x:row>
    <x:row r="78">
      <x:c r="A78" s="27" t="str">
        <x:v>D20-F04</x:v>
      </x:c>
      <x:c r="B78" s="27" t="n">
        <x:v>20</x:v>
      </x:c>
      <x:c r="C78" s="27" t="str">
        <x:v>Plan Next Lesson proposes a small capped retrieval block; teachers can snooze, pause, mark reviewed, or archive.</x:v>
      </x:c>
      <x:c r="D78" s="27" t="str">
        <x:v>hypothesis</x:v>
      </x:c>
      <x:c r="E78" s="27" t="str">
        <x:v>JH-13</x:v>
      </x:c>
      <x:c r="F78" s="27" t="str"/>
      <x:c r="G78" s="27" t="str"/>
      <x:c r="H78" s="27" t="str">
        <x:f>IF(D78="safety_reliability",IF(COUNTIF('Safety Requirements'!$A$5:$A$10,E78)&gt;0,"approved","blocked"),IF(D78="witnessed_task",IF(AND(F78&lt;&gt;"",G78&lt;&gt;""),"review","blocked"),"pending_interviews"))</x:f>
        <x:v>pending_interviews</x:v>
      </x:c>
      <x:c r="I78" s="27" t="str">
        <x:v>Do not build from this hypothesis until interview evidence is linked.</x:v>
      </x:c>
    </x:row>
    <x:row r="79">
      <x:c r="A79" s="27" t="str">
        <x:v>D20-F05</x:v>
      </x:c>
      <x:c r="B79" s="27" t="n">
        <x:v>20</x:v>
      </x:c>
      <x:c r="C79" s="27" t="str">
        <x:v>Do not equate exposure with mastery; status remains a planning aid under teacher control.</x:v>
      </x:c>
      <x:c r="D79" s="27" t="str">
        <x:v>safety_reliability</x:v>
      </x:c>
      <x:c r="E79" s="27" t="str">
        <x:v>SR-05</x:v>
      </x:c>
      <x:c r="F79" s="27" t="str"/>
      <x:c r="G79" s="27" t="str"/>
      <x:c r="H79" s="27" t="str">
        <x:f>IF(D79="safety_reliability",IF(COUNTIF('Safety Requirements'!$A$5:$A$10,E79)&gt;0,"approved","blocked"),IF(D79="witnessed_task",IF(AND(F79&lt;&gt;"",G79&lt;&gt;""),"review","blocked"),"pending_interviews"))</x:f>
        <x:v>approved</x:v>
      </x:c>
      <x:c r="I79" s="27" t="str">
        <x:v>Protective requirement; validate implementation through tests.</x:v>
      </x:c>
    </x:row>
    <x:row r="80">
      <x:c r="A80" s="27" t="str">
        <x:v>D21-F01</x:v>
      </x:c>
      <x:c r="B80" s="27" t="n">
        <x:v>21</x:v>
      </x:c>
      <x:c r="C80" s="27" t="str">
        <x:v>Show active objectives, needs support, teacher-confirmed secure, recent lessons/outcomes, approved evidence, recurring difficulties, review due, and assessment history.</x:v>
      </x:c>
      <x:c r="D80" s="27" t="str">
        <x:v>hypothesis</x:v>
      </x:c>
      <x:c r="E80" s="27" t="str">
        <x:v>JH-14</x:v>
      </x:c>
      <x:c r="F80" s="27" t="str"/>
      <x:c r="G80" s="27" t="str"/>
      <x:c r="H80" s="27" t="str">
        <x:f>IF(D80="safety_reliability",IF(COUNTIF('Safety Requirements'!$A$5:$A$10,E80)&gt;0,"approved","blocked"),IF(D80="witnessed_task",IF(AND(F80&lt;&gt;"",G80&lt;&gt;""),"review","blocked"),"pending_interviews"))</x:f>
        <x:v>pending_interviews</x:v>
      </x:c>
      <x:c r="I80" s="27" t="str">
        <x:v>Do not build from this hypothesis until interview evidence is linked.</x:v>
      </x:c>
    </x:row>
    <x:row r="81">
      <x:c r="A81" s="27" t="str">
        <x:v>D21-F02</x:v>
      </x:c>
      <x:c r="B81" s="27" t="n">
        <x:v>21</x:v>
      </x:c>
      <x:c r="C81" s="27" t="str">
        <x:v>Use simple counts and timelines; avoid unsupported mastery percentages, rankings, and comparisons among unrelated learners.</x:v>
      </x:c>
      <x:c r="D81" s="27" t="str">
        <x:v>safety_reliability</x:v>
      </x:c>
      <x:c r="E81" s="27" t="str">
        <x:v>SR-05</x:v>
      </x:c>
      <x:c r="F81" s="27" t="str"/>
      <x:c r="G81" s="27" t="str"/>
      <x:c r="H81" s="27" t="str">
        <x:f>IF(D81="safety_reliability",IF(COUNTIF('Safety Requirements'!$A$5:$A$10,E81)&gt;0,"approved","blocked"),IF(D81="witnessed_task",IF(AND(F81&lt;&gt;"",G81&lt;&gt;""),"review","blocked"),"pending_interviews"))</x:f>
        <x:v>approved</x:v>
      </x:c>
      <x:c r="I81" s="27" t="str">
        <x:v>Protective requirement; validate implementation through tests.</x:v>
      </x:c>
    </x:row>
    <x:row r="82">
      <x:c r="A82" s="27" t="str">
        <x:v>D21-F03</x:v>
      </x:c>
      <x:c r="B82" s="27" t="n">
        <x:v>21</x:v>
      </x:c>
      <x:c r="C82" s="27" t="str">
        <x:v>Every summary opens its source record; teachers can correct objective status or remove a mistaken inference.</x:v>
      </x:c>
      <x:c r="D82" s="27" t="str">
        <x:v>safety_reliability</x:v>
      </x:c>
      <x:c r="E82" s="27" t="str">
        <x:v>SR-01</x:v>
      </x:c>
      <x:c r="F82" s="27" t="str"/>
      <x:c r="G82" s="27" t="str"/>
      <x:c r="H82" s="27" t="str">
        <x:f>IF(D82="safety_reliability",IF(COUNTIF('Safety Requirements'!$A$5:$A$10,E82)&gt;0,"approved","blocked"),IF(D82="witnessed_task",IF(AND(F82&lt;&gt;"",G82&lt;&gt;""),"review","blocked"),"pending_interviews"))</x:f>
        <x:v>approved</x:v>
      </x:c>
      <x:c r="I82" s="27" t="str">
        <x:v>Protective requirement; validate implementation through tests.</x:v>
      </x:c>
    </x:row>
    <x:row r="83">
      <x:c r="A83" s="27" t="str">
        <x:v>D21-F04</x:v>
      </x:c>
      <x:c r="B83" s="27" t="n">
        <x:v>21</x:v>
      </x:c>
      <x:c r="C83" s="27" t="str">
        <x:v>Add proposed objective extraction from lessons and approved evidence, but require teacher approval before saving or status change.</x:v>
      </x:c>
      <x:c r="D83" s="27" t="str">
        <x:v>safety_reliability</x:v>
      </x:c>
      <x:c r="E83" s="27" t="str">
        <x:v>SR-01</x:v>
      </x:c>
      <x:c r="F83" s="27" t="str"/>
      <x:c r="G83" s="27" t="str"/>
      <x:c r="H83" s="27" t="str">
        <x:f>IF(D83="safety_reliability",IF(COUNTIF('Safety Requirements'!$A$5:$A$10,E83)&gt;0,"approved","blocked"),IF(D83="witnessed_task",IF(AND(F83&lt;&gt;"",G83&lt;&gt;""),"review","blocked"),"pending_interviews"))</x:f>
        <x:v>approved</x:v>
      </x:c>
      <x:c r="I83" s="27" t="str">
        <x:v>Protective requirement; validate implementation through tests.</x:v>
      </x:c>
    </x:row>
    <x:row r="84">
      <x:c r="A84" s="27" t="str">
        <x:v>D21-F05</x:v>
      </x:c>
      <x:c r="B84" s="27" t="n">
        <x:v>21</x:v>
      </x:c>
      <x:c r="C84" s="27" t="str">
        <x:v>Create a class health card that prioritizes the next instructional decision, not product usage vanity.</x:v>
      </x:c>
      <x:c r="D84" s="27" t="str">
        <x:v>hypothesis</x:v>
      </x:c>
      <x:c r="E84" s="27" t="str">
        <x:v>JH-14</x:v>
      </x:c>
      <x:c r="F84" s="27" t="str"/>
      <x:c r="G84" s="27" t="str"/>
      <x:c r="H84" s="27" t="str">
        <x:f>IF(D84="safety_reliability",IF(COUNTIF('Safety Requirements'!$A$5:$A$10,E84)&gt;0,"approved","blocked"),IF(D84="witnessed_task",IF(AND(F84&lt;&gt;"",G84&lt;&gt;""),"review","blocked"),"pending_interviews"))</x:f>
        <x:v>pending_interviews</x:v>
      </x:c>
      <x:c r="I84" s="27" t="str">
        <x:v>Do not build from this hypothesis until interview evidence is linked.</x:v>
      </x:c>
    </x:row>
    <x:row r="85">
      <x:c r="A85" s="27" t="str">
        <x:v>D22-F01</x:v>
      </x:c>
      <x:c r="B85" s="27" t="n">
        <x:v>22</x:v>
      </x:c>
      <x:c r="C85" s="27" t="str">
        <x:v>Store current coursebook/unit, teacher-entered unit objectives, exam/syllabus target, and short curriculum notes; do not scrape or store copyrighted textbooks.</x:v>
      </x:c>
      <x:c r="D85" s="27" t="str">
        <x:v>safety_reliability</x:v>
      </x:c>
      <x:c r="E85" s="27" t="str">
        <x:v>SR-01</x:v>
      </x:c>
      <x:c r="F85" s="27" t="str"/>
      <x:c r="G85" s="27" t="str"/>
      <x:c r="H85" s="27" t="str">
        <x:f>IF(D85="safety_reliability",IF(COUNTIF('Safety Requirements'!$A$5:$A$10,E85)&gt;0,"approved","blocked"),IF(D85="witnessed_task",IF(AND(F85&lt;&gt;"",G85&lt;&gt;""),"review","blocked"),"pending_interviews"))</x:f>
        <x:v>approved</x:v>
      </x:c>
      <x:c r="I85" s="27" t="str">
        <x:v>Protective requirement; validate implementation through tests.</x:v>
      </x:c>
    </x:row>
    <x:row r="86">
      <x:c r="A86" s="27" t="str">
        <x:v>D22-F02</x:v>
      </x:c>
      <x:c r="B86" s="27" t="n">
        <x:v>22</x:v>
      </x:c>
      <x:c r="C86" s="27" t="str">
        <x:v>Map lesson objectives to CEFR-informed reception, production, interaction, mediation, and relevant language competence categories.</x:v>
      </x:c>
      <x:c r="D86" s="27" t="str">
        <x:v>hypothesis</x:v>
      </x:c>
      <x:c r="E86" s="27" t="str">
        <x:v>JH-15</x:v>
      </x:c>
      <x:c r="F86" s="27" t="str"/>
      <x:c r="G86" s="27" t="str"/>
      <x:c r="H86" s="27" t="str">
        <x:f>IF(D86="safety_reliability",IF(COUNTIF('Safety Requirements'!$A$5:$A$10,E86)&gt;0,"approved","blocked"),IF(D86="witnessed_task",IF(AND(F86&lt;&gt;"",G86&lt;&gt;""),"review","blocked"),"pending_interviews"))</x:f>
        <x:v>pending_interviews</x:v>
      </x:c>
      <x:c r="I86" s="27" t="str">
        <x:v>Do not build from this hypothesis until interview evidence is linked.</x:v>
      </x:c>
    </x:row>
    <x:row r="87">
      <x:c r="A87" s="27" t="str">
        <x:v>D22-F03</x:v>
      </x:c>
      <x:c r="B87" s="27" t="n">
        <x:v>22</x:v>
      </x:c>
      <x:c r="C87" s="27" t="str">
        <x:v>Add validators for can-do wording, communicative outcome, task authenticity, language demand, scaffolding, timing, assessment match, and pronunciation where relevant.</x:v>
      </x:c>
      <x:c r="D87" s="27" t="str">
        <x:v>safety_reliability</x:v>
      </x:c>
      <x:c r="E87" s="27" t="str">
        <x:v>SR-05</x:v>
      </x:c>
      <x:c r="F87" s="27" t="str"/>
      <x:c r="G87" s="27" t="str"/>
      <x:c r="H87" s="27" t="str">
        <x:f>IF(D87="safety_reliability",IF(COUNTIF('Safety Requirements'!$A$5:$A$10,E87)&gt;0,"approved","blocked"),IF(D87="witnessed_task",IF(AND(F87&lt;&gt;"",G87&lt;&gt;""),"review","blocked"),"pending_interviews"))</x:f>
        <x:v>approved</x:v>
      </x:c>
      <x:c r="I87" s="27" t="str">
        <x:v>Protective requirement; validate implementation through tests.</x:v>
      </x:c>
    </x:row>
    <x:row r="88">
      <x:c r="A88" s="27" t="str">
        <x:v>D22-F04</x:v>
      </x:c>
      <x:c r="B88" s="27" t="n">
        <x:v>22</x:v>
      </x:c>
      <x:c r="C88" s="27" t="str">
        <x:v>Show covered/partly/not-yet-covered teacher-approved objectives and prerequisite suggestions with uncertainty.</x:v>
      </x:c>
      <x:c r="D88" s="27" t="str">
        <x:v>safety_reliability</x:v>
      </x:c>
      <x:c r="E88" s="27" t="str">
        <x:v>SR-05</x:v>
      </x:c>
      <x:c r="F88" s="27" t="str"/>
      <x:c r="G88" s="27" t="str"/>
      <x:c r="H88" s="27" t="str">
        <x:f>IF(D88="safety_reliability",IF(COUNTIF('Safety Requirements'!$A$5:$A$10,E88)&gt;0,"approved","blocked"),IF(D88="witnessed_task",IF(AND(F88&lt;&gt;"",G88&lt;&gt;""),"review","blocked"),"pending_interviews"))</x:f>
        <x:v>approved</x:v>
      </x:c>
      <x:c r="I88" s="27" t="str">
        <x:v>Protective requirement; validate implementation through tests.</x:v>
      </x:c>
    </x:row>
    <x:row r="89">
      <x:c r="A89" s="27" t="str">
        <x:v>D22-F05</x:v>
      </x:c>
      <x:c r="B89" s="27" t="n">
        <x:v>22</x:v>
      </x:c>
      <x:c r="C89" s="27" t="str">
        <x:v>Calibrate the golden set with at least two experienced English teachers and record disagreements.</x:v>
      </x:c>
      <x:c r="D89" s="27" t="str">
        <x:v>safety_reliability</x:v>
      </x:c>
      <x:c r="E89" s="27" t="str">
        <x:v>SR-06</x:v>
      </x:c>
      <x:c r="F89" s="27" t="str"/>
      <x:c r="G89" s="27" t="str"/>
      <x:c r="H89" s="27" t="str">
        <x:f>IF(D89="safety_reliability",IF(COUNTIF('Safety Requirements'!$A$5:$A$10,E89)&gt;0,"approved","blocked"),IF(D89="witnessed_task",IF(AND(F89&lt;&gt;"",G89&lt;&gt;""),"review","blocked"),"pending_interviews"))</x:f>
        <x:v>approved</x:v>
      </x:c>
      <x:c r="I89" s="27" t="str">
        <x:v>Protective requirement; validate implementation through tests.</x:v>
      </x:c>
    </x:row>
    <x:row r="90">
      <x:c r="A90" s="27" t="str">
        <x:v>D23-F01</x:v>
      </x:c>
      <x:c r="B90" s="27" t="n">
        <x:v>23</x:v>
      </x:c>
      <x:c r="C90" s="27" t="str">
        <x:v>V1 report types: whole-class summary, end-of-unit summary, and teacher reflection. Defer individual learner reports until profiles and consent are robust.</x:v>
      </x:c>
      <x:c r="D90" s="27" t="str">
        <x:v>safety_reliability</x:v>
      </x:c>
      <x:c r="E90" s="27" t="str">
        <x:v>SR-01</x:v>
      </x:c>
      <x:c r="F90" s="27" t="str"/>
      <x:c r="G90" s="27" t="str"/>
      <x:c r="H90" s="27" t="str">
        <x:f>IF(D90="safety_reliability",IF(COUNTIF('Safety Requirements'!$A$5:$A$10,E90)&gt;0,"approved","blocked"),IF(D90="witnessed_task",IF(AND(F90&lt;&gt;"",G90&lt;&gt;""),"review","blocked"),"pending_interviews"))</x:f>
        <x:v>approved</x:v>
      </x:c>
      <x:c r="I90" s="27" t="str">
        <x:v>Protective requirement; validate implementation through tests.</x:v>
      </x:c>
    </x:row>
    <x:row r="91">
      <x:c r="A91" s="27" t="str">
        <x:v>D23-F02</x:v>
      </x:c>
      <x:c r="B91" s="27" t="n">
        <x:v>23</x:v>
      </x:c>
      <x:c r="C91" s="27" t="str">
        <x:v>Separate Evidence, Teacher judgment, and AI-supported wording; include reporting period, learning covered, strengths, priorities, change observed, next steps, and teacher comments.</x:v>
      </x:c>
      <x:c r="D91" s="27" t="str">
        <x:v>safety_reliability</x:v>
      </x:c>
      <x:c r="E91" s="27" t="str">
        <x:v>SR-01</x:v>
      </x:c>
      <x:c r="F91" s="27" t="str"/>
      <x:c r="G91" s="27" t="str"/>
      <x:c r="H91" s="27" t="str">
        <x:f>IF(D91="safety_reliability",IF(COUNTIF('Safety Requirements'!$A$5:$A$10,E91)&gt;0,"approved","blocked"),IF(D91="witnessed_task",IF(AND(F91&lt;&gt;"",G91&lt;&gt;""),"review","blocked"),"pending_interviews"))</x:f>
        <x:v>approved</x:v>
      </x:c>
      <x:c r="I91" s="27" t="str">
        <x:v>Protective requirement; validate implementation through tests.</x:v>
      </x:c>
    </x:row>
    <x:row r="92">
      <x:c r="A92" s="27" t="str">
        <x:v>D23-F03</x:v>
      </x:c>
      <x:c r="B92" s="27" t="n">
        <x:v>23</x:v>
      </x:c>
      <x:c r="C92" s="27" t="str">
        <x:v>Use only approved analyses and teacher-confirmed records; never invent attendance, effort, behavior, home support, diagnosis, or exact proficiency.</x:v>
      </x:c>
      <x:c r="D92" s="27" t="str">
        <x:v>safety_reliability</x:v>
      </x:c>
      <x:c r="E92" s="27" t="str">
        <x:v>SR-05</x:v>
      </x:c>
      <x:c r="F92" s="27" t="str"/>
      <x:c r="G92" s="27" t="str"/>
      <x:c r="H92" s="27" t="str">
        <x:f>IF(D92="safety_reliability",IF(COUNTIF('Safety Requirements'!$A$5:$A$10,E92)&gt;0,"approved","blocked"),IF(D92="witnessed_task",IF(AND(F92&lt;&gt;"",G92&lt;&gt;""),"review","blocked"),"pending_interviews"))</x:f>
        <x:v>approved</x:v>
      </x:c>
      <x:c r="I92" s="27" t="str">
        <x:v>Protective requirement; validate implementation through tests.</x:v>
      </x:c>
    </x:row>
    <x:row r="93">
      <x:c r="A93" s="27" t="str">
        <x:v>D23-F04</x:v>
      </x:c>
      <x:c r="B93" s="27" t="n">
        <x:v>23</x:v>
      </x:c>
      <x:c r="C93" s="27" t="str">
        <x:v>Add an edit/approval preview and share-safe check before Word/PDF export.</x:v>
      </x:c>
      <x:c r="D93" s="27" t="str">
        <x:v>safety_reliability</x:v>
      </x:c>
      <x:c r="E93" s="27" t="str">
        <x:v>SR-01</x:v>
      </x:c>
      <x:c r="F93" s="27" t="str"/>
      <x:c r="G93" s="27" t="str"/>
      <x:c r="H93" s="27" t="str">
        <x:f>IF(D93="safety_reliability",IF(COUNTIF('Safety Requirements'!$A$5:$A$10,E93)&gt;0,"approved","blocked"),IF(D93="witnessed_task",IF(AND(F93&lt;&gt;"",G93&lt;&gt;""),"review","blocked"),"pending_interviews"))</x:f>
        <x:v>approved</x:v>
      </x:c>
      <x:c r="I93" s="27" t="str">
        <x:v>Protective requirement; validate implementation through tests.</x:v>
      </x:c>
    </x:row>
    <x:row r="94">
      <x:c r="A94" s="27" t="str">
        <x:v>D23-F05</x:v>
      </x:c>
      <x:c r="B94" s="27" t="n">
        <x:v>23</x:v>
      </x:c>
      <x:c r="C94" s="27" t="str">
        <x:v>Record source IDs and report version so later corrections are visible.</x:v>
      </x:c>
      <x:c r="D94" s="27" t="str">
        <x:v>safety_reliability</x:v>
      </x:c>
      <x:c r="E94" s="27" t="str">
        <x:v>SR-05</x:v>
      </x:c>
      <x:c r="F94" s="27" t="str"/>
      <x:c r="G94" s="27" t="str"/>
      <x:c r="H94" s="27" t="str">
        <x:f>IF(D94="safety_reliability",IF(COUNTIF('Safety Requirements'!$A$5:$A$10,E94)&gt;0,"approved","blocked"),IF(D94="witnessed_task",IF(AND(F94&lt;&gt;"",G94&lt;&gt;""),"review","blocked"),"pending_interviews"))</x:f>
        <x:v>approved</x:v>
      </x:c>
      <x:c r="I94" s="27" t="str">
        <x:v>Protective requirement; validate implementation through tests.</x:v>
      </x:c>
    </x:row>
  </x:sheetData>
  <x:mergeCells>
    <x:mergeCell ref="A1:I1"/>
    <x:mergeCell ref="A2:I2"/>
  </x:mergeCells>
  <x:conditionalFormatting sqref="H5:H94">
    <x:cfRule type="containsText" dxfId="20" priority="1" operator="containsText" text="approved"/>
    <x:cfRule type="containsText" dxfId="21" priority="2" operator="containsText" text="completed"/>
    <x:cfRule type="containsText" dxfId="22" priority="3" operator="containsText" text="validated"/>
    <x:cfRule type="containsText" dxfId="23" priority="4" operator="containsText" text="pending"/>
    <x:cfRule type="containsText" dxfId="24" priority="5" operator="containsText" text="blocked"/>
  </x:conditionalFormatting>
  <x:dataValidations count="1">
    <x:dataValidation type="list" sqref="D5:D94">
      <x:formula1>"hypothesis,witnessed_task,safety_reliability,defer"</x:formula1>
    </x:dataValidation>
  </x:dataValidations>
  <x:pageMargins left="0.7" right="0.7" top="0.75" bottom="0.75" header="0.3" footer="0.3"/>
  <x:tableParts count="1">
    <x:tablePart xmlns:r="http://schemas.openxmlformats.org/officeDocument/2006/relationships" r:id="R99adc43a40974d8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54" hidden="0" customWidth="1"/>
    <x:col min="3" max="3" width="42" hidden="0" customWidth="1"/>
    <x:col min="4" max="4" width="50" hidden="0" customWidth="1"/>
    <x:col min="5" max="5" width="14" hidden="0" customWidth="1"/>
  </x:cols>
  <x:sheetData>
    <x:row r="1" ht="32" customHeight="1">
      <x:c r="A1" s="25" t="str">
        <x:v>Day 2 Safety and Reliability Requirements</x:v>
      </x:c>
      <x:c r="B1" s="25"/>
      <x:c r="C1" s="25"/>
      <x:c r="D1" s="25"/>
      <x:c r="E1" s="25"/>
    </x:row>
    <x:row r="2" ht="30" customHeight="1">
      <x:c r="A2" s="26" t="str">
        <x:v>These requirements justify risk-control work independently of preference interviews; they do not validate product desirability.</x:v>
      </x:c>
      <x:c r="B2" s="26"/>
      <x:c r="C2" s="26"/>
      <x:c r="D2" s="26"/>
      <x:c r="E2" s="26"/>
    </x:row>
    <x:row r="3">
      <x:c r="A3" s="27"/>
      <x:c r="B3" s="27"/>
      <x:c r="C3" s="27"/>
      <x:c r="D3" s="27"/>
      <x:c r="E3" s="27"/>
    </x:row>
    <x:row r="4">
      <x:c r="A4" s="27" t="str">
        <x:v>requirement_id</x:v>
      </x:c>
      <x:c r="B4" s="27" t="str">
        <x:v>requirement</x:v>
      </x:c>
      <x:c r="C4" s="27" t="str">
        <x:v>risk_if_omitted</x:v>
      </x:c>
      <x:c r="D4" s="27" t="str">
        <x:v>acceptance_basis</x:v>
      </x:c>
      <x:c r="E4" s="27" t="str">
        <x:v>status</x:v>
      </x:c>
    </x:row>
    <x:row r="5">
      <x:c r="A5" s="27" t="str">
        <x:v>SR-01</x:v>
      </x:c>
      <x:c r="B5" s="27" t="str">
        <x:v>Privacy, ownership, consent, teacher approval, and source transparency</x:v>
      </x:c>
      <x:c r="C5" s="27" t="str">
        <x:v>Student/teacher harm or cross-user exposure</x:v>
      </x:c>
      <x:c r="D5" s="27" t="str">
        <x:v>Threat model, ownership tests, consent and retention policy</x:v>
      </x:c>
      <x:c r="E5" s="27" t="str">
        <x:v>approved</x:v>
      </x:c>
    </x:row>
    <x:row r="6">
      <x:c r="A6" s="27" t="str">
        <x:v>SR-02</x:v>
      </x:c>
      <x:c r="B6" s="27" t="str">
        <x:v>Reliability, idempotency, legacy preservation, backup, retry, and rollback</x:v>
      </x:c>
      <x:c r="C6" s="27" t="str">
        <x:v>Lost work, duplicate actions, or unrecoverable release</x:v>
      </x:c>
      <x:c r="D6" s="27" t="str">
        <x:v>Regression, restore, restart, and duplicate-action tests</x:v>
      </x:c>
      <x:c r="E6" s="27" t="str">
        <x:v>approved</x:v>
      </x:c>
    </x:row>
    <x:row r="7">
      <x:c r="A7" s="27" t="str">
        <x:v>SR-03</x:v>
      </x:c>
      <x:c r="B7" s="27" t="str">
        <x:v>Usable recovery, accessible navigation, compact callbacks, and reminder restraint</x:v>
      </x:c>
      <x:c r="C7" s="27" t="str">
        <x:v>Dead ends, abandonment, or notification harm</x:v>
      </x:c>
      <x:c r="D7" s="27" t="str">
        <x:v>Route, stale-state, accessibility, and frequency tests</x:v>
      </x:c>
      <x:c r="E7" s="27" t="str">
        <x:v>approved</x:v>
      </x:c>
    </x:row>
    <x:row r="8">
      <x:c r="A8" s="27" t="str">
        <x:v>SR-04</x:v>
      </x:c>
      <x:c r="B8" s="27" t="str">
        <x:v>Central entitlement and billing correctness</x:v>
      </x:c>
      <x:c r="C8" s="27" t="str">
        <x:v>Incorrect access or financial harm</x:v>
      </x:c>
      <x:c r="D8" s="27" t="str">
        <x:v>Ownership, sandbox, idempotency, refund/restore tests</x:v>
      </x:c>
      <x:c r="E8" s="27" t="str">
        <x:v>approved</x:v>
      </x:c>
    </x:row>
    <x:row r="9">
      <x:c r="A9" s="27" t="str">
        <x:v>SR-05</x:v>
      </x:c>
      <x:c r="B9" s="27" t="str">
        <x:v>Pedagogical validation, provenance, uncertainty, and unsupported-claim controls</x:v>
      </x:c>
      <x:c r="C9" s="27" t="str">
        <x:v>Misleading teaching decisions or unusable material</x:v>
      </x:c>
      <x:c r="D9" s="27" t="str">
        <x:v>Golden-set validators and teacher approval gates</x:v>
      </x:c>
      <x:c r="E9" s="27" t="str">
        <x:v>approved</x:v>
      </x:c>
    </x:row>
    <x:row r="10">
      <x:c r="A10" s="27" t="str">
        <x:v>SR-06</x:v>
      </x:c>
      <x:c r="B10" s="27" t="str">
        <x:v>Independent usability, AI evaluation, and release gates</x:v>
      </x:c>
      <x:c r="C10" s="27" t="str">
        <x:v>Shipping based on founder intuition</x:v>
      </x:c>
      <x:c r="D10" s="27" t="str">
        <x:v>Observed tasks, golden-set review, regression and explicit go/no-go</x:v>
      </x:c>
      <x:c r="E10" s="27" t="str">
        <x:v>approved</x:v>
      </x:c>
    </x:row>
  </x:sheetData>
  <x:mergeCells>
    <x:mergeCell ref="A1:E1"/>
    <x:mergeCell ref="A2:E2"/>
  </x:mergeCells>
  <x:conditionalFormatting sqref="E5:E10">
    <x:cfRule type="containsText" dxfId="15" priority="1" operator="containsText" text="approved"/>
    <x:cfRule type="containsText" dxfId="16" priority="2" operator="containsText" text="completed"/>
    <x:cfRule type="containsText" dxfId="17" priority="3" operator="containsText" text="validated"/>
    <x:cfRule type="containsText" dxfId="18" priority="4" operator="containsText" text="pending"/>
    <x:cfRule type="containsText" dxfId="19" priority="5" operator="containsText" text="blocked"/>
  </x:conditionalFormatting>
  <x:pageMargins left="0.7" right="0.7" top="0.75" bottom="0.75" header="0.3" footer="0.3"/>
  <x:tableParts count="1">
    <x:tablePart xmlns:r="http://schemas.openxmlformats.org/officeDocument/2006/relationships" r:id="R0a9951dfa42d4c4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14" hidden="0" customWidth="1"/>
    <x:col min="4" max="4" width="62" hidden="0" customWidth="1"/>
  </x:cols>
  <x:sheetData>
    <x:row r="1" ht="32" customHeight="1">
      <x:c r="A1" s="25" t="str">
        <x:v>Day 2 Scoring and Gate Assumptions</x:v>
      </x:c>
      <x:c r="B1" s="25"/>
      <x:c r="C1" s="25"/>
      <x:c r="D1" s="25"/>
    </x:row>
    <x:row r="2" ht="30" customHeight="1">
      <x:c r="A2" s="26" t="str">
        <x:v>Edit weights only deliberately. Weights must total 100%; thresholds define the evidence gate.</x:v>
      </x:c>
      <x:c r="B2" s="26"/>
      <x:c r="C2" s="26"/>
      <x:c r="D2" s="26"/>
    </x:row>
    <x:row r="3">
      <x:c r="A3" s="27"/>
      <x:c r="B3" s="27"/>
      <x:c r="C3" s="27"/>
      <x:c r="D3" s="27"/>
    </x:row>
    <x:row r="4">
      <x:c r="A4" s="27" t="str">
        <x:v>assumption</x:v>
      </x:c>
      <x:c r="B4" s="27" t="str">
        <x:v>value</x:v>
      </x:c>
      <x:c r="C4" s="27" t="str">
        <x:v>unit</x:v>
      </x:c>
      <x:c r="D4" s="27" t="str">
        <x:v>reason</x:v>
      </x:c>
    </x:row>
    <x:row r="5">
      <x:c r="A5" s="27" t="str">
        <x:v>frequency_weight</x:v>
      </x:c>
      <x:c r="B5" s="29" t="n">
        <x:v>0.25</x:v>
      </x:c>
      <x:c r="C5" s="27" t="str">
        <x:v>share</x:v>
      </x:c>
      <x:c r="D5" s="27" t="str">
        <x:v>Recurring work should dominate a recurring-class product.</x:v>
      </x:c>
    </x:row>
    <x:row r="6">
      <x:c r="A6" s="27" t="str">
        <x:v>time_loss_weight</x:v>
      </x:c>
      <x:c r="B6" s="29" t="n">
        <x:v>0.2</x:v>
      </x:c>
      <x:c r="C6" s="27" t="str">
        <x:v>share</x:v>
      </x:c>
      <x:c r="D6" s="27" t="str">
        <x:v>Minutes lost must be material enough to justify behavior change.</x:v>
      </x:c>
    </x:row>
    <x:row r="7">
      <x:c r="A7" s="27" t="str">
        <x:v>consequence_weight</x:v>
      </x:c>
      <x:c r="B7" s="29" t="n">
        <x:v>0.25</x:v>
      </x:c>
      <x:c r="C7" s="27" t="str">
        <x:v>share</x:v>
      </x:c>
      <x:c r="D7" s="27" t="str">
        <x:v>Poor outcomes, trust, and classroom consequences matter.</x:v>
      </x:c>
    </x:row>
    <x:row r="8">
      <x:c r="A8" s="27" t="str">
        <x:v>upload_willingness_weight</x:v>
      </x:c>
      <x:c r="B8" s="29" t="n">
        <x:v>0.15</x:v>
      </x:c>
      <x:c r="C8" s="27" t="str">
        <x:v>share</x:v>
      </x:c>
      <x:c r="D8" s="27" t="str">
        <x:v>Evidence features require safe willingness to share anonymized work.</x:v>
      </x:c>
    </x:row>
    <x:row r="9">
      <x:c r="A9" s="27" t="str">
        <x:v>pay_willingness_weight</x:v>
      </x:c>
      <x:c r="B9" s="29" t="n">
        <x:v>0.15</x:v>
      </x:c>
      <x:c r="C9" s="27" t="str">
        <x:v>share</x:v>
      </x:c>
      <x:c r="D9" s="27" t="str">
        <x:v>Commercial intent is evidence, not a promise.</x:v>
      </x:c>
    </x:row>
    <x:row r="10">
      <x:c r="A10" s="27" t="str">
        <x:v>weight_total</x:v>
      </x:c>
      <x:c r="B10" s="29" t="n">
        <x:f>SUM(B5:B9)</x:f>
        <x:v>1</x:v>
      </x:c>
      <x:c r="C10" s="27" t="str">
        <x:v>share</x:v>
      </x:c>
      <x:c r="D10" s="27" t="str">
        <x:v>Must equal 100%.</x:v>
      </x:c>
    </x:row>
    <x:row r="11">
      <x:c r="A11" s="27" t="str">
        <x:v>minimum_repeated_problem_interviews</x:v>
      </x:c>
      <x:c r="B11" s="27" t="n">
        <x:v>3</x:v>
      </x:c>
      <x:c r="C11" s="27" t="str">
        <x:v>teachers</x:v>
      </x:c>
      <x:c r="D11" s="27" t="str">
        <x:v>Day 2 requires the same pain from at least three independent teachers.</x:v>
      </x:c>
    </x:row>
    <x:row r="12">
      <x:c r="A12" s="27" t="str">
        <x:v>minimum_completed_interviews</x:v>
      </x:c>
      <x:c r="B12" s="27" t="n">
        <x:v>5</x:v>
      </x:c>
      <x:c r="C12" s="27" t="str">
        <x:v>teachers</x:v>
      </x:c>
      <x:c r="D12" s="27" t="str">
        <x:v>Plan requirement.</x:v>
      </x:c>
    </x:row>
    <x:row r="13">
      <x:c r="A13" s="27" t="str">
        <x:v>minimum_confirmed_pilot_recruits</x:v>
      </x:c>
      <x:c r="B13" s="27" t="n">
        <x:v>10</x:v>
      </x:c>
      <x:c r="C13" s="27" t="str">
        <x:v>teachers</x:v>
      </x:c>
      <x:c r="D13" s="27" t="str">
        <x:v>Later pilot lower bound.</x:v>
      </x:c>
    </x:row>
    <x:row r="14">
      <x:c r="A14" s="27" t="str">
        <x:v>maximum_confirmed_pilot_recruits</x:v>
      </x:c>
      <x:c r="B14" s="27" t="n">
        <x:v>15</x:v>
      </x:c>
      <x:c r="C14" s="27" t="str">
        <x:v>teachers</x:v>
      </x:c>
      <x:c r="D14" s="27" t="str">
        <x:v>Later pilot upper bound.</x:v>
      </x:c>
    </x:row>
  </x:sheetData>
  <x:mergeCells>
    <x:mergeCell ref="A1:D1"/>
    <x:mergeCell ref="A2:D2"/>
  </x:mergeCells>
  <x:pageMargins left="0.7" right="0.7" top="0.75" bottom="0.75" header="0.3" footer="0.3"/>
  <x:tableParts count="1">
    <x:tablePart xmlns:r="http://schemas.openxmlformats.org/officeDocument/2006/relationships" r:id="R950ca98bc9254a6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100" hidden="0" customWidth="1"/>
  </x:cols>
  <x:sheetData>
    <x:row r="1" ht="32" customHeight="1">
      <x:c r="A1" s="25" t="str">
        <x:v>Day 2 Segment and JTBD Decision Record</x:v>
      </x:c>
      <x:c r="B1" s="25"/>
      <x:c r="C1" s="32"/>
      <x:c r="D1" s="32"/>
    </x:row>
    <x:row r="2" ht="30" customHeight="1">
      <x:c r="A2" s="26" t="str">
        <x:v>Change status to validated only after the gate conditions and evidence review pass. Current text is a recommended hypothesis.</x:v>
      </x:c>
      <x:c r="B2" s="26"/>
      <x:c r="C2" s="26"/>
      <x:c r="D2" s="26"/>
    </x:row>
    <x:row r="3">
      <x:c r="A3" s="27"/>
      <x:c r="B3" s="27"/>
      <x:c r="C3" s="33"/>
      <x:c r="D3" s="33"/>
    </x:row>
    <x:row r="4">
      <x:c r="A4" s="27" t="str">
        <x:v>field</x:v>
      </x:c>
      <x:c r="B4" s="27" t="str">
        <x:v>value</x:v>
      </x:c>
      <x:c r="C4" s="33"/>
      <x:c r="D4" s="33"/>
    </x:row>
    <x:row r="5">
      <x:c r="A5" s="27" t="str">
        <x:v>research_status</x:v>
      </x:c>
      <x:c r="B5" s="27" t="str">
        <x:v>hypothesis</x:v>
      </x:c>
      <x:c r="C5" s="33"/>
      <x:c r="D5" s="33"/>
    </x:row>
    <x:row r="6">
      <x:c r="A6" s="27" t="str">
        <x:v>target_segment</x:v>
      </x:c>
      <x:c r="B6" s="27" t="str">
        <x:v>Independent or language-institute English teachers with recurring mixed-ability classes, at least two lessons weekly, and Telegram in daily work</x:v>
      </x:c>
      <x:c r="C6" s="33"/>
      <x:c r="D6" s="33"/>
    </x:row>
    <x:row r="7">
      <x:c r="A7" s="27" t="str">
        <x:v>anti_segment</x:v>
      </x:c>
      <x:c r="B7" s="27" t="str">
        <x:v>One-off learners; teachers with fewer than two recurring lessons weekly; procurement-heavy institutions; users unwilling to keep student evidence anonymous</x:v>
      </x:c>
      <x:c r="C7" s="33"/>
      <x:c r="D7" s="33"/>
    </x:row>
    <x:row r="8">
      <x:c r="A8" s="27" t="str">
        <x:v>product_promise</x:v>
      </x:c>
      <x:c r="B8" s="27" t="str">
        <x:v>TeacherOS remembers each class, turns approved evidence into the next best teaching action, and produces classroom-ready English materials in minutes under teacher control</x:v>
      </x:c>
      <x:c r="C8" s="33"/>
      <x:c r="D8" s="33"/>
    </x:row>
    <x:row r="9">
      <x:c r="A9" s="27" t="str">
        <x:v>top_problem_1</x:v>
      </x:c>
      <x:c r="B9" s="27" t="str"/>
      <x:c r="C9" s="33"/>
      <x:c r="D9" s="33"/>
    </x:row>
    <x:row r="10">
      <x:c r="A10" s="27" t="str">
        <x:v>top_problem_2</x:v>
      </x:c>
      <x:c r="B10" s="27" t="str"/>
      <x:c r="C10" s="33"/>
      <x:c r="D10" s="33"/>
    </x:row>
    <x:row r="11">
      <x:c r="A11" s="27" t="str">
        <x:v>top_problem_3</x:v>
      </x:c>
      <x:c r="B11" s="27" t="str"/>
      <x:c r="C11" s="33"/>
      <x:c r="D11" s="33"/>
    </x:row>
    <x:row r="12">
      <x:c r="A12" s="27" t="str">
        <x:v>approved_feature_mappings</x:v>
      </x:c>
      <x:c r="B12" s="27" t="n">
        <x:f>COUNTIF('Feature Map'!$H$5:$H$94,"approved")</x:f>
        <x:v>57</x:v>
      </x:c>
      <x:c r="C12" s="33"/>
      <x:c r="D12" s="33"/>
    </x:row>
    <x:row r="13">
      <x:c r="A13" s="27" t="str">
        <x:v>completed_eligible_interviews</x:v>
      </x:c>
      <x:c r="B13" s="27" t="n">
        <x:f>COUNTIFS('Interviews'!$B$5:$B$24,"completed",'Interviews'!$D$5:$D$24,"yes")</x:f>
        <x:v>0</x:v>
      </x:c>
      <x:c r="C13" s="33"/>
      <x:c r="D13" s="33"/>
    </x:row>
    <x:row r="14">
      <x:c r="A14" s="27" t="str">
        <x:v>confirmed_pilot_recruits</x:v>
      </x:c>
      <x:c r="B14" s="27" t="n">
        <x:f>COUNTIF('Recruitment'!$J$5:$J$19,"confirmed")</x:f>
        <x:v>0</x:v>
      </x:c>
      <x:c r="C14" s="33"/>
      <x:c r="D14" s="33"/>
    </x:row>
    <x:row r="15">
      <x:c r="A15" s="27" t="str">
        <x:v>repeated_problem_count</x:v>
      </x:c>
      <x:c r="B15" s="27" t="n">
        <x:f>COUNTIF('Job Scores'!$J$5:$J$20,"top_3_candidate")+COUNTIF('Job Scores'!$J$5:$J$20,"repeated")</x:f>
        <x:v>0</x:v>
      </x:c>
      <x:c r="C15" s="33"/>
      <x:c r="D15" s="33"/>
    </x:row>
    <x:row r="16">
      <x:c r="A16" s="27" t="str">
        <x:v>day_2_gate</x:v>
      </x:c>
      <x:c r="B16" s="27" t="str">
        <x:f>IF(AND(B5="validated",B13&gt;='Scoring'!$B$12,B14&gt;='Scoring'!$B$13,B14&lt;='Scoring'!$B$14,B15&gt;=1,B12=90),"OPEN","CLOSED")</x:f>
        <x:v>CLOSED</x:v>
      </x:c>
      <x:c r="C16" s="33"/>
      <x:c r="D16" s="33"/>
    </x:row>
  </x:sheetData>
  <x:mergeCells>
    <x:mergeCell ref="A1:D1"/>
    <x:mergeCell ref="A2:D2"/>
  </x:mergeCells>
  <x:conditionalFormatting sqref="B5:B16">
    <x:cfRule type="containsText" dxfId="30" priority="1" operator="containsText" text="approved"/>
    <x:cfRule type="containsText" dxfId="31" priority="2" operator="containsText" text="completed"/>
    <x:cfRule type="containsText" dxfId="32" priority="3" operator="containsText" text="validated"/>
    <x:cfRule type="containsText" dxfId="33" priority="4" operator="containsText" text="pending"/>
    <x:cfRule type="containsText" dxfId="34" priority="5" operator="containsText" text="blocked"/>
  </x:conditionalFormatting>
  <x:dataValidations count="1">
    <x:dataValidation type="list" sqref="B5">
      <x:formula1>"hypothesis,validated"</x:formula1>
    </x:dataValidation>
  </x:dataValidations>
  <x:pageMargins left="0.7" right="0.7" top="0.75" bottom="0.75" header="0.3" footer="0.3"/>
  <x:tableParts count="1">
    <x:tablePart xmlns:r="http://schemas.openxmlformats.org/officeDocument/2006/relationships" r:id="R0c6489df0b1442ce"/>
  </x:tableParts>
</x:worksheet>
</file>